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junhyun/Downloads/"/>
    </mc:Choice>
  </mc:AlternateContent>
  <xr:revisionPtr revIDLastSave="0" documentId="13_ncr:1_{6DF28023-B9B2-8B42-B7F7-A84AC005EC39}" xr6:coauthVersionLast="36" xr6:coauthVersionMax="36" xr10:uidLastSave="{00000000-0000-0000-0000-000000000000}"/>
  <bookViews>
    <workbookView xWindow="0" yWindow="460" windowWidth="33600" windowHeight="19140" xr2:uid="{00000000-000D-0000-FFFF-FFFF00000000}"/>
  </bookViews>
  <sheets>
    <sheet name="REPORT" sheetId="2" r:id="rId1"/>
    <sheet name="LIST" sheetId="1" r:id="rId2"/>
    <sheet name="DATA" sheetId="4" r:id="rId3"/>
    <sheet name="PIVOTDATA" sheetId="11" r:id="rId4"/>
  </sheets>
  <definedNames>
    <definedName name="LIST1">OFFSET(LIST!$A:$A,1,,COUNTA(LIST!$A:$A)-1)</definedName>
    <definedName name="LIST2">OFFSET(LIST!$B:$B,1,,COUNTA(LIST!$B:$B)-1)</definedName>
    <definedName name="LIST3">OFFSET(LIST!$C:$C,1,,COUNTA(LIST!$C:$C)-1)</definedName>
    <definedName name="LIST4">OFFSET(LIST!$D:$D,1,,COUNTA(LIST!$D:$D)-1)</definedName>
    <definedName name="PIVOTDATA_REF">PIVOTDATA!$L:$L</definedName>
    <definedName name="_xlnm.Print_Area" localSheetId="1">LIST!$A$1:$G$25</definedName>
    <definedName name="_xlnm.Print_Area" localSheetId="0">REPORT!$B$3:$S$34</definedName>
    <definedName name="STATIC_LIST1">OFFSET(LIST!$E:$E,1,,COUNTA(LIST!$E:$E)-1)</definedName>
    <definedName name="STATIC_LIST2">OFFSET(LIST!$F:$F,1,,COUNTA(LIST!$F:$F)-1)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4" i="2" l="1"/>
  <c r="M34" i="2"/>
  <c r="L34" i="2"/>
  <c r="K34" i="2"/>
  <c r="J34" i="2"/>
  <c r="I34" i="2"/>
  <c r="F34" i="2"/>
  <c r="E34" i="2"/>
  <c r="O33" i="2"/>
  <c r="Q33" i="2" s="1"/>
  <c r="N33" i="2"/>
  <c r="O32" i="2"/>
  <c r="Q32" i="2" s="1"/>
  <c r="N32" i="2"/>
  <c r="Q31" i="2"/>
  <c r="O31" i="2"/>
  <c r="P31" i="2" s="1"/>
  <c r="N31" i="2"/>
  <c r="Q30" i="2"/>
  <c r="O30" i="2"/>
  <c r="P30" i="2" s="1"/>
  <c r="N30" i="2"/>
  <c r="Q29" i="2"/>
  <c r="O29" i="2"/>
  <c r="P29" i="2" s="1"/>
  <c r="N29" i="2"/>
  <c r="Q28" i="2"/>
  <c r="O28" i="2"/>
  <c r="P28" i="2" s="1"/>
  <c r="N28" i="2"/>
  <c r="Q27" i="2"/>
  <c r="O27" i="2"/>
  <c r="P27" i="2" s="1"/>
  <c r="N27" i="2"/>
  <c r="Q26" i="2"/>
  <c r="O26" i="2"/>
  <c r="P26" i="2" s="1"/>
  <c r="N26" i="2"/>
  <c r="Q25" i="2"/>
  <c r="O25" i="2"/>
  <c r="P25" i="2" s="1"/>
  <c r="N25" i="2"/>
  <c r="Q24" i="2"/>
  <c r="O24" i="2"/>
  <c r="P24" i="2" s="1"/>
  <c r="N24" i="2"/>
  <c r="Q23" i="2"/>
  <c r="O23" i="2"/>
  <c r="P23" i="2" s="1"/>
  <c r="N23" i="2"/>
  <c r="Q22" i="2"/>
  <c r="O22" i="2"/>
  <c r="P22" i="2" s="1"/>
  <c r="N22" i="2"/>
  <c r="Q21" i="2"/>
  <c r="O21" i="2"/>
  <c r="P21" i="2" s="1"/>
  <c r="N21" i="2"/>
  <c r="Q20" i="2"/>
  <c r="O20" i="2"/>
  <c r="P20" i="2" s="1"/>
  <c r="N20" i="2"/>
  <c r="Q19" i="2"/>
  <c r="O19" i="2"/>
  <c r="P19" i="2" s="1"/>
  <c r="N19" i="2"/>
  <c r="Q18" i="2"/>
  <c r="O18" i="2"/>
  <c r="P18" i="2" s="1"/>
  <c r="N18" i="2"/>
  <c r="Q17" i="2"/>
  <c r="O17" i="2"/>
  <c r="P17" i="2" s="1"/>
  <c r="N17" i="2"/>
  <c r="Q16" i="2"/>
  <c r="O16" i="2"/>
  <c r="P16" i="2" s="1"/>
  <c r="N16" i="2"/>
  <c r="Q15" i="2"/>
  <c r="O15" i="2"/>
  <c r="P15" i="2" s="1"/>
  <c r="N15" i="2"/>
  <c r="Q14" i="2"/>
  <c r="Q34" i="2" s="1"/>
  <c r="O14" i="2"/>
  <c r="P14" i="2" s="1"/>
  <c r="N14" i="2"/>
  <c r="N34" i="2" s="1"/>
  <c r="U33" i="2"/>
  <c r="U31" i="2"/>
  <c r="U30" i="2"/>
  <c r="U29" i="2"/>
  <c r="U27" i="2"/>
  <c r="U26" i="2"/>
  <c r="U25" i="2"/>
  <c r="U23" i="2"/>
  <c r="U22" i="2"/>
  <c r="U21" i="2"/>
  <c r="U19" i="2"/>
  <c r="U18" i="2"/>
  <c r="U17" i="2"/>
  <c r="U15" i="2"/>
  <c r="U14" i="2"/>
  <c r="D10" i="2"/>
  <c r="V7" i="2" s="1"/>
  <c r="V3" i="2"/>
  <c r="U32" i="2" s="1"/>
  <c r="V4" i="2" l="1"/>
  <c r="V5" i="2"/>
  <c r="V6" i="2"/>
  <c r="U16" i="2"/>
  <c r="U34" i="2" s="1"/>
  <c r="U20" i="2"/>
  <c r="U24" i="2"/>
  <c r="U28" i="2"/>
  <c r="P32" i="2"/>
  <c r="P34" i="2" s="1"/>
  <c r="P3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Park Jun Hyun</author>
  </authors>
  <commentList>
    <comment ref="B10" authorId="0" shapeId="0" xr:uid="{2CAE7C93-2A27-C545-8B97-DF4BEB76DE21}">
      <text>
        <r>
          <rPr>
            <sz val="10"/>
            <color rgb="FF000000"/>
            <rFont val="Malgun Gothic"/>
            <family val="2"/>
            <charset val="129"/>
          </rPr>
          <t>2019-01-01</t>
        </r>
      </text>
    </comment>
    <comment ref="N13" authorId="0" shapeId="0" xr:uid="{8B092A4A-FF3B-9346-8B54-6A83536376B5}">
      <text>
        <r>
          <rPr>
            <b/>
            <sz val="10"/>
            <color rgb="FF000000"/>
            <rFont val="맑은 고딕"/>
            <family val="2"/>
            <charset val="129"/>
            <scheme val="minor"/>
          </rPr>
          <t xml:space="preserve">SUM1 = </t>
        </r>
        <r>
          <rPr>
            <b/>
            <sz val="10"/>
            <color rgb="FF000000"/>
            <rFont val="Malgun Gothic"/>
            <family val="2"/>
            <charset val="129"/>
          </rPr>
          <t>ITEM3+ITEM4</t>
        </r>
        <r>
          <rPr>
            <sz val="10"/>
            <color rgb="FF000000"/>
            <rFont val="Malgun Gothic"/>
            <family val="2"/>
            <charset val="129"/>
          </rPr>
          <t xml:space="preserve">
</t>
        </r>
      </text>
    </comment>
    <comment ref="O13" authorId="0" shapeId="0" xr:uid="{3BD82175-8184-2B44-8855-63AD42323DD3}">
      <text>
        <r>
          <rPr>
            <b/>
            <sz val="10"/>
            <color rgb="FF000000"/>
            <rFont val="Malgun Gothic"/>
            <family val="2"/>
            <charset val="129"/>
          </rPr>
          <t>SUM2 = ITEM8 + ITEM9 + ITEM10</t>
        </r>
        <r>
          <rPr>
            <sz val="10"/>
            <color rgb="FF000000"/>
            <rFont val="Malgun Gothic"/>
            <family val="2"/>
            <charset val="129"/>
          </rPr>
          <t xml:space="preserve">
</t>
        </r>
      </text>
    </comment>
    <comment ref="P13" authorId="0" shapeId="0" xr:uid="{E621DD8C-926A-D947-A963-63EB4F6B5B0B}">
      <text>
        <r>
          <rPr>
            <b/>
            <sz val="10"/>
            <color rgb="FF000000"/>
            <rFont val="Malgun Gothic"/>
            <family val="2"/>
            <charset val="129"/>
          </rPr>
          <t>SUM3 = ITEM7 x SUM2</t>
        </r>
        <r>
          <rPr>
            <sz val="10"/>
            <color rgb="FF000000"/>
            <rFont val="Malgun Gothic"/>
            <family val="2"/>
            <charset val="129"/>
          </rPr>
          <t xml:space="preserve">
</t>
        </r>
      </text>
    </comment>
    <comment ref="Q13" authorId="0" shapeId="0" xr:uid="{C3E7846C-0B83-184D-9372-400810C8098A}">
      <text>
        <r>
          <rPr>
            <b/>
            <sz val="10"/>
            <color rgb="FF000000"/>
            <rFont val="Malgun Gothic"/>
            <family val="2"/>
            <charset val="129"/>
          </rPr>
          <t>SUM4 = ITEM11 x ( SUM2 / 3600 )</t>
        </r>
        <r>
          <rPr>
            <sz val="10"/>
            <color rgb="FF000000"/>
            <rFont val="Malgun Gothic"/>
            <family val="2"/>
            <charset val="129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<sst xmlns="http://schemas.openxmlformats.org/spreadsheetml/2006/main" count="475" uniqueCount="435">
  <si>
    <t>DATE</t>
  </si>
  <si>
    <t>MEMO</t>
  </si>
  <si>
    <t>TITLE</t>
    <phoneticPr fontId="1" type="noConversion"/>
  </si>
  <si>
    <t>CEO</t>
    <phoneticPr fontId="1" type="noConversion"/>
  </si>
  <si>
    <t>MANAGER</t>
    <phoneticPr fontId="1" type="noConversion"/>
  </si>
  <si>
    <t>MEMO</t>
    <phoneticPr fontId="1" type="noConversion"/>
  </si>
  <si>
    <t>DATE</t>
    <phoneticPr fontId="1" type="noConversion"/>
  </si>
  <si>
    <t>ITEM2</t>
  </si>
  <si>
    <t>ITEM1</t>
    <phoneticPr fontId="1" type="noConversion"/>
  </si>
  <si>
    <t>ITEM3</t>
  </si>
  <si>
    <t>NUM</t>
  </si>
  <si>
    <t>NUM</t>
    <phoneticPr fontId="1" type="noConversion"/>
  </si>
  <si>
    <t>ITEM4</t>
  </si>
  <si>
    <t>ITEM5</t>
  </si>
  <si>
    <t>ITEM6</t>
  </si>
  <si>
    <t>ITEM7</t>
  </si>
  <si>
    <t>ITEM8</t>
  </si>
  <si>
    <t>ITEM9</t>
  </si>
  <si>
    <t>ITEM16</t>
  </si>
  <si>
    <t>ITEM16</t>
    <phoneticPr fontId="1" type="noConversion"/>
  </si>
  <si>
    <t>SERIAL</t>
  </si>
  <si>
    <t>SERIAL</t>
    <phoneticPr fontId="1" type="noConversion"/>
  </si>
  <si>
    <t>YEAR</t>
  </si>
  <si>
    <t>YEAR</t>
    <phoneticPr fontId="1" type="noConversion"/>
  </si>
  <si>
    <t>MONTH</t>
  </si>
  <si>
    <t>MONTH</t>
    <phoneticPr fontId="1" type="noConversion"/>
  </si>
  <si>
    <t>DAY</t>
  </si>
  <si>
    <t>DAY</t>
    <phoneticPr fontId="1" type="noConversion"/>
  </si>
  <si>
    <t>REF</t>
  </si>
  <si>
    <t>REF</t>
    <phoneticPr fontId="1" type="noConversion"/>
  </si>
  <si>
    <t>SUM</t>
    <phoneticPr fontId="1" type="noConversion"/>
  </si>
  <si>
    <t>LIST1</t>
  </si>
  <si>
    <t>LIST1</t>
    <phoneticPr fontId="1" type="noConversion"/>
  </si>
  <si>
    <t>LIST2</t>
  </si>
  <si>
    <t>LIST2</t>
    <phoneticPr fontId="1" type="noConversion"/>
  </si>
  <si>
    <t>LIST3</t>
  </si>
  <si>
    <t>LIST3</t>
    <phoneticPr fontId="1" type="noConversion"/>
  </si>
  <si>
    <t>LIST4</t>
  </si>
  <si>
    <t>LIST4</t>
    <phoneticPr fontId="1" type="noConversion"/>
  </si>
  <si>
    <t>QUARTER</t>
  </si>
  <si>
    <t>QUARTER</t>
    <phoneticPr fontId="1" type="noConversion"/>
  </si>
  <si>
    <t>NONE</t>
    <phoneticPr fontId="1" type="noConversion"/>
  </si>
  <si>
    <t>STATIC_LIST1</t>
  </si>
  <si>
    <t>STATIC_LIST1</t>
    <phoneticPr fontId="1" type="noConversion"/>
  </si>
  <si>
    <t>STATIC_LIST2</t>
  </si>
  <si>
    <t>STATIC_LIST2</t>
    <phoneticPr fontId="1" type="noConversion"/>
  </si>
  <si>
    <t>STATIC_ITEM1</t>
  </si>
  <si>
    <t>STATIC_ITEM1</t>
    <phoneticPr fontId="1" type="noConversion"/>
  </si>
  <si>
    <t>STATIC_ITEM2</t>
  </si>
  <si>
    <t>STATIC_ITEM3</t>
  </si>
  <si>
    <t>STATIC_ITEM4</t>
  </si>
  <si>
    <t>NUM_1</t>
    <phoneticPr fontId="1" type="noConversion"/>
  </si>
  <si>
    <t>LIST1_1</t>
    <phoneticPr fontId="1" type="noConversion"/>
  </si>
  <si>
    <t>LIST2_1</t>
    <phoneticPr fontId="1" type="noConversion"/>
  </si>
  <si>
    <t>LIST3_1</t>
    <phoneticPr fontId="1" type="noConversion"/>
  </si>
  <si>
    <t>LIST4_1</t>
    <phoneticPr fontId="1" type="noConversion"/>
  </si>
  <si>
    <t>ITEM16_1</t>
    <phoneticPr fontId="1" type="noConversion"/>
  </si>
  <si>
    <t>ITEM16_2</t>
  </si>
  <si>
    <t>NUM_3</t>
  </si>
  <si>
    <t>LIST1_3</t>
  </si>
  <si>
    <t>LIST2_3</t>
  </si>
  <si>
    <t>LIST3_3</t>
  </si>
  <si>
    <t>LIST4_3</t>
  </si>
  <si>
    <t>ITEM16_3</t>
  </si>
  <si>
    <t>NUM_4</t>
  </si>
  <si>
    <t>LIST1_4</t>
  </si>
  <si>
    <t>LIST2_4</t>
  </si>
  <si>
    <t>LIST3_4</t>
  </si>
  <si>
    <t>LIST4_4</t>
  </si>
  <si>
    <t>ITEM16_4</t>
  </si>
  <si>
    <t>NUM_5</t>
  </si>
  <si>
    <t>LIST1_5</t>
  </si>
  <si>
    <t>LIST2_5</t>
  </si>
  <si>
    <t>LIST3_5</t>
  </si>
  <si>
    <t>LIST4_5</t>
  </si>
  <si>
    <t>ITEM16_5</t>
  </si>
  <si>
    <t>NUM_6</t>
  </si>
  <si>
    <t>LIST1_6</t>
  </si>
  <si>
    <t>LIST2_6</t>
  </si>
  <si>
    <t>LIST3_6</t>
  </si>
  <si>
    <t>LIST4_6</t>
  </si>
  <si>
    <t>ITEM16_6</t>
  </si>
  <si>
    <t>NUM_7</t>
  </si>
  <si>
    <t>LIST1_7</t>
  </si>
  <si>
    <t>LIST2_7</t>
  </si>
  <si>
    <t>LIST3_7</t>
  </si>
  <si>
    <t>LIST4_7</t>
  </si>
  <si>
    <t>ITEM16_7</t>
  </si>
  <si>
    <t>NUM_8</t>
  </si>
  <si>
    <t>LIST1_8</t>
  </si>
  <si>
    <t>LIST2_8</t>
  </si>
  <si>
    <t>LIST3_8</t>
  </si>
  <si>
    <t>LIST4_8</t>
  </si>
  <si>
    <t>ITEM16_8</t>
  </si>
  <si>
    <t>NUM_9</t>
  </si>
  <si>
    <t>LIST1_9</t>
  </si>
  <si>
    <t>LIST2_9</t>
  </si>
  <si>
    <t>LIST3_9</t>
  </si>
  <si>
    <t>LIST4_9</t>
  </si>
  <si>
    <t>ITEM16_9</t>
  </si>
  <si>
    <t>NUM_10</t>
  </si>
  <si>
    <t>LIST1_10</t>
  </si>
  <si>
    <t>LIST2_10</t>
  </si>
  <si>
    <t>LIST3_10</t>
  </si>
  <si>
    <t>LIST4_10</t>
  </si>
  <si>
    <t>ITEM16_10</t>
  </si>
  <si>
    <t>NUM_11</t>
  </si>
  <si>
    <t>LIST1_11</t>
  </si>
  <si>
    <t>LIST2_11</t>
  </si>
  <si>
    <t>LIST3_11</t>
  </si>
  <si>
    <t>LIST4_11</t>
  </si>
  <si>
    <t>STATIC_ITEM2</t>
    <phoneticPr fontId="1" type="noConversion"/>
  </si>
  <si>
    <t>ITEM3
(kg)</t>
    <phoneticPr fontId="1" type="noConversion"/>
  </si>
  <si>
    <t>ITEM4
(kg)</t>
    <phoneticPr fontId="1" type="noConversion"/>
  </si>
  <si>
    <t>ITEM11
(s)</t>
    <phoneticPr fontId="1" type="noConversion"/>
  </si>
  <si>
    <t>ITEM10
(ea)</t>
    <phoneticPr fontId="1" type="noConversion"/>
  </si>
  <si>
    <t>ITEM9
(ea)</t>
    <phoneticPr fontId="1" type="noConversion"/>
  </si>
  <si>
    <t>ITEM8
(ea)</t>
    <phoneticPr fontId="1" type="noConversion"/>
  </si>
  <si>
    <t>ITEM7
(g)</t>
    <phoneticPr fontId="1" type="noConversion"/>
  </si>
  <si>
    <t>SUM1
(kg)</t>
    <phoneticPr fontId="1" type="noConversion"/>
  </si>
  <si>
    <t>SUM2
(ea)</t>
    <phoneticPr fontId="1" type="noConversion"/>
  </si>
  <si>
    <t>SUM3
(kg)</t>
    <phoneticPr fontId="1" type="noConversion"/>
  </si>
  <si>
    <t>SUM4
(hr)</t>
    <phoneticPr fontId="1" type="noConversion"/>
  </si>
  <si>
    <t>REF_1</t>
    <phoneticPr fontId="1" type="noConversion"/>
  </si>
  <si>
    <t>REF_3</t>
  </si>
  <si>
    <t>REF_4</t>
  </si>
  <si>
    <t>REF_5</t>
  </si>
  <si>
    <t>REF_6</t>
  </si>
  <si>
    <t>REF_7</t>
  </si>
  <si>
    <t>REF_8</t>
  </si>
  <si>
    <t>REF_9</t>
  </si>
  <si>
    <t>REF_10</t>
  </si>
  <si>
    <t>REF_11</t>
  </si>
  <si>
    <t>ITEM3(kg)</t>
    <phoneticPr fontId="1" type="noConversion"/>
  </si>
  <si>
    <t>ITEM4(kg)</t>
    <phoneticPr fontId="1" type="noConversion"/>
  </si>
  <si>
    <t>ITEM7(g)</t>
    <phoneticPr fontId="1" type="noConversion"/>
  </si>
  <si>
    <t>ITEM8(ea)</t>
    <phoneticPr fontId="1" type="noConversion"/>
  </si>
  <si>
    <t>ITEM9(ea)</t>
    <phoneticPr fontId="1" type="noConversion"/>
  </si>
  <si>
    <t>ITEM10(ea)</t>
    <phoneticPr fontId="1" type="noConversion"/>
  </si>
  <si>
    <t>ITEM11(s)</t>
    <phoneticPr fontId="1" type="noConversion"/>
  </si>
  <si>
    <t>SUM1(kg)</t>
    <phoneticPr fontId="1" type="noConversion"/>
  </si>
  <si>
    <t>SUM2(ea)</t>
    <phoneticPr fontId="1" type="noConversion"/>
  </si>
  <si>
    <t>(kg)</t>
    <phoneticPr fontId="1" type="noConversion"/>
  </si>
  <si>
    <t>SUM4(hr)</t>
    <phoneticPr fontId="1" type="noConversion"/>
  </si>
  <si>
    <t>ITEM3(kg)_1</t>
    <phoneticPr fontId="1" type="noConversion"/>
  </si>
  <si>
    <t>ITEM4(kg)_1</t>
    <phoneticPr fontId="1" type="noConversion"/>
  </si>
  <si>
    <t>ITEM7(g)_1</t>
    <phoneticPr fontId="1" type="noConversion"/>
  </si>
  <si>
    <t>ITEM8(ea)_1</t>
    <phoneticPr fontId="1" type="noConversion"/>
  </si>
  <si>
    <t>ITEM9(ea)_1</t>
    <phoneticPr fontId="1" type="noConversion"/>
  </si>
  <si>
    <t>ITEM10(ea)_1</t>
    <phoneticPr fontId="1" type="noConversion"/>
  </si>
  <si>
    <t>ITEM11(s)_1</t>
    <phoneticPr fontId="1" type="noConversion"/>
  </si>
  <si>
    <t>SUM1(kg)_1</t>
    <phoneticPr fontId="1" type="noConversion"/>
  </si>
  <si>
    <t>SUM2(ea)_1</t>
    <phoneticPr fontId="1" type="noConversion"/>
  </si>
  <si>
    <t>SUM3(kg)_1</t>
    <phoneticPr fontId="1" type="noConversion"/>
  </si>
  <si>
    <t>SUM4(hr)_1</t>
    <phoneticPr fontId="1" type="noConversion"/>
  </si>
  <si>
    <t>ITEM7(g)_2</t>
  </si>
  <si>
    <t>ITEM8(ea)_2</t>
  </si>
  <si>
    <t>ITEM9(ea)_2</t>
  </si>
  <si>
    <t>ITEM10(ea)_2</t>
  </si>
  <si>
    <t>ITEM11(s)_2</t>
  </si>
  <si>
    <t>SUM1(kg)_2</t>
  </si>
  <si>
    <t>SUM2(ea)_2</t>
  </si>
  <si>
    <t>SUM3(kg)_2</t>
  </si>
  <si>
    <t>SUM4(hr)_2</t>
  </si>
  <si>
    <t>ITEM3(kg)_3</t>
  </si>
  <si>
    <t>ITEM4(kg)_3</t>
  </si>
  <si>
    <t>ITEM7(g)_3</t>
  </si>
  <si>
    <t>ITEM8(ea)_3</t>
  </si>
  <si>
    <t>ITEM9(ea)_3</t>
  </si>
  <si>
    <t>ITEM10(ea)_3</t>
  </si>
  <si>
    <t>ITEM11(s)_3</t>
  </si>
  <si>
    <t>SUM1(kg)_3</t>
  </si>
  <si>
    <t>SUM2(ea)_3</t>
  </si>
  <si>
    <t>SUM3(kg)_3</t>
  </si>
  <si>
    <t>SUM4(hr)_3</t>
  </si>
  <si>
    <t>ITEM3(kg)_4</t>
  </si>
  <si>
    <t>ITEM4(kg)_4</t>
  </si>
  <si>
    <t>ITEM7(g)_4</t>
  </si>
  <si>
    <t>ITEM8(ea)_4</t>
  </si>
  <si>
    <t>ITEM9(ea)_4</t>
  </si>
  <si>
    <t>ITEM10(ea)_4</t>
  </si>
  <si>
    <t>ITEM11(s)_4</t>
  </si>
  <si>
    <t>SUM1(kg)_4</t>
  </si>
  <si>
    <t>SUM2(ea)_4</t>
  </si>
  <si>
    <t>SUM3(kg)_4</t>
  </si>
  <si>
    <t>SUM4(hr)_4</t>
  </si>
  <si>
    <t>ITEM3(kg)_5</t>
  </si>
  <si>
    <t>ITEM4(kg)_5</t>
  </si>
  <si>
    <t>ITEM7(g)_5</t>
  </si>
  <si>
    <t>ITEM8(ea)_5</t>
  </si>
  <si>
    <t>ITEM9(ea)_5</t>
  </si>
  <si>
    <t>ITEM10(ea)_5</t>
  </si>
  <si>
    <t>ITEM11(s)_5</t>
  </si>
  <si>
    <t>SUM1(kg)_5</t>
  </si>
  <si>
    <t>SUM2(ea)_5</t>
  </si>
  <si>
    <t>SUM3(kg)_5</t>
  </si>
  <si>
    <t>SUM4(hr)_5</t>
  </si>
  <si>
    <t>ITEM3(kg)_6</t>
  </si>
  <si>
    <t>ITEM4(kg)_6</t>
  </si>
  <si>
    <t>ITEM7(g)_6</t>
  </si>
  <si>
    <t>ITEM8(ea)_6</t>
  </si>
  <si>
    <t>ITEM9(ea)_6</t>
  </si>
  <si>
    <t>ITEM10(ea)_6</t>
  </si>
  <si>
    <t>ITEM11(s)_6</t>
  </si>
  <si>
    <t>SUM1(kg)_6</t>
  </si>
  <si>
    <t>SUM2(ea)_6</t>
  </si>
  <si>
    <t>SUM3(kg)_6</t>
  </si>
  <si>
    <t>SUM4(hr)_6</t>
  </si>
  <si>
    <t>ITEM3(kg)_7</t>
  </si>
  <si>
    <t>ITEM4(kg)_7</t>
  </si>
  <si>
    <t>ITEM7(g)_7</t>
  </si>
  <si>
    <t>ITEM8(ea)_7</t>
  </si>
  <si>
    <t>ITEM9(ea)_7</t>
  </si>
  <si>
    <t>ITEM10(ea)_7</t>
  </si>
  <si>
    <t>ITEM11(s)_7</t>
  </si>
  <si>
    <t>SUM1(kg)_7</t>
  </si>
  <si>
    <t>SUM2(ea)_7</t>
  </si>
  <si>
    <t>SUM3(kg)_7</t>
  </si>
  <si>
    <t>SUM4(hr)_7</t>
  </si>
  <si>
    <t>ITEM3(kg)_8</t>
  </si>
  <si>
    <t>ITEM4(kg)_8</t>
  </si>
  <si>
    <t>ITEM7(g)_8</t>
  </si>
  <si>
    <t>ITEM8(ea)_8</t>
  </si>
  <si>
    <t>ITEM9(ea)_8</t>
  </si>
  <si>
    <t>ITEM10(ea)_8</t>
  </si>
  <si>
    <t>ITEM11(s)_8</t>
  </si>
  <si>
    <t>SUM1(kg)_8</t>
  </si>
  <si>
    <t>SUM2(ea)_8</t>
  </si>
  <si>
    <t>SUM3(kg)_8</t>
  </si>
  <si>
    <t>SUM4(hr)_8</t>
  </si>
  <si>
    <t>ITEM3(kg)_9</t>
  </si>
  <si>
    <t>ITEM4(kg)_9</t>
  </si>
  <si>
    <t>ITEM7(g)_9</t>
  </si>
  <si>
    <t>ITEM8(ea)_9</t>
  </si>
  <si>
    <t>ITEM9(ea)_9</t>
  </si>
  <si>
    <t>ITEM10(ea)_9</t>
  </si>
  <si>
    <t>ITEM11(s)_9</t>
  </si>
  <si>
    <t>SUM1(kg)_9</t>
  </si>
  <si>
    <t>SUM2(ea)_9</t>
  </si>
  <si>
    <t>SUM3(kg)_9</t>
  </si>
  <si>
    <t>SUM4(hr)_9</t>
  </si>
  <si>
    <t>ITEM3(kg)_10</t>
  </si>
  <si>
    <t>ITEM4(kg)_10</t>
  </si>
  <si>
    <t>ITEM7(g)_10</t>
  </si>
  <si>
    <t>ITEM8(ea)_10</t>
  </si>
  <si>
    <t>ITEM9(ea)_10</t>
  </si>
  <si>
    <t>ITEM10(ea)_10</t>
  </si>
  <si>
    <t>ITEM11(s)_10</t>
  </si>
  <si>
    <t>SUM1(kg)_10</t>
  </si>
  <si>
    <t>SUM2(ea)_10</t>
  </si>
  <si>
    <t>SUM3(kg)_10</t>
  </si>
  <si>
    <t>SUM4(hr)_10</t>
  </si>
  <si>
    <t>ITEM3(kg)_11</t>
  </si>
  <si>
    <t>ITEM4(kg)_11</t>
  </si>
  <si>
    <t>ITEM7(g)_11</t>
  </si>
  <si>
    <t>ITEM8(ea)_11</t>
  </si>
  <si>
    <t>ITEM16_11</t>
  </si>
  <si>
    <t>ITEM16_12</t>
  </si>
  <si>
    <t>ITEM9(ea)_11</t>
  </si>
  <si>
    <t>ITEM10(ea)_11</t>
  </si>
  <si>
    <t>ITEM11(s)_11</t>
  </si>
  <si>
    <t>SUM1(kg)_11</t>
  </si>
  <si>
    <t>SUM2(ea)_11</t>
  </si>
  <si>
    <t>SUM3(kg)_11</t>
  </si>
  <si>
    <t>SUM4(hr)_11</t>
  </si>
  <si>
    <t>REF_12</t>
  </si>
  <si>
    <t>NUM_12</t>
  </si>
  <si>
    <t>LIST1_12</t>
  </si>
  <si>
    <t>LIST2_12</t>
  </si>
  <si>
    <t>ITEM3(kg)_12</t>
  </si>
  <si>
    <t>ITEM4(kg)_12</t>
  </si>
  <si>
    <t>LIST3_12</t>
  </si>
  <si>
    <t>LIST4_12</t>
  </si>
  <si>
    <t>ITEM7(g)_12</t>
  </si>
  <si>
    <t>ITEM8(ea)_12</t>
  </si>
  <si>
    <t>ITEM9(ea)_12</t>
  </si>
  <si>
    <t>ITEM10(ea)_12</t>
  </si>
  <si>
    <t>ITEM11(s)_12</t>
  </si>
  <si>
    <t>SUM1(kg)_12</t>
  </si>
  <si>
    <t>SUM2(ea)_12</t>
  </si>
  <si>
    <t>SUM3(kg)_12</t>
  </si>
  <si>
    <t>SUM4(hr)_12</t>
  </si>
  <si>
    <t>REF_13</t>
  </si>
  <si>
    <t>NUM_13</t>
  </si>
  <si>
    <t>LIST1_13</t>
  </si>
  <si>
    <t>LIST2_13</t>
  </si>
  <si>
    <t>ITEM3(kg)_13</t>
  </si>
  <si>
    <t>ITEM4(kg)_13</t>
  </si>
  <si>
    <t>LIST3_13</t>
  </si>
  <si>
    <t>LIST4_13</t>
  </si>
  <si>
    <t>ITEM7(g)_13</t>
  </si>
  <si>
    <t>ITEM8(ea)_13</t>
  </si>
  <si>
    <t>ITEM9(ea)_13</t>
  </si>
  <si>
    <t>ITEM10(ea)_13</t>
  </si>
  <si>
    <t>ITEM11(s)_13</t>
  </si>
  <si>
    <t>SUM1(kg)_13</t>
  </si>
  <si>
    <t>SUM2(ea)_13</t>
  </si>
  <si>
    <t>SUM3(kg)_13</t>
  </si>
  <si>
    <t>SUM4(hr)_13</t>
  </si>
  <si>
    <t>ITEM16_13</t>
  </si>
  <si>
    <t>REF_14</t>
  </si>
  <si>
    <t>NUM_14</t>
  </si>
  <si>
    <t>LIST1_14</t>
  </si>
  <si>
    <t>LIST2_14</t>
  </si>
  <si>
    <t>ITEM3(kg)_14</t>
  </si>
  <si>
    <t>ITEM4(kg)_14</t>
  </si>
  <si>
    <t>LIST3_14</t>
  </si>
  <si>
    <t>LIST4_14</t>
  </si>
  <si>
    <t>ITEM7(g)_14</t>
  </si>
  <si>
    <t>ITEM8(ea)_14</t>
  </si>
  <si>
    <t>ITEM9(ea)_14</t>
  </si>
  <si>
    <t>ITEM10(ea)_14</t>
  </si>
  <si>
    <t>ITEM11(s)_14</t>
  </si>
  <si>
    <t>SUM1(kg)_14</t>
  </si>
  <si>
    <t>SUM2(ea)_14</t>
  </si>
  <si>
    <t>SUM3(kg)_14</t>
  </si>
  <si>
    <t>SUM4(hr)_14</t>
  </si>
  <si>
    <t>ITEM16_14</t>
  </si>
  <si>
    <t>REF_15</t>
  </si>
  <si>
    <t>NUM_15</t>
  </si>
  <si>
    <t>LIST1_15</t>
  </si>
  <si>
    <t>LIST2_15</t>
  </si>
  <si>
    <t>ITEM3(kg)_15</t>
  </si>
  <si>
    <t>ITEM4(kg)_15</t>
  </si>
  <si>
    <t>LIST3_15</t>
  </si>
  <si>
    <t>LIST4_15</t>
  </si>
  <si>
    <t>ITEM7(g)_15</t>
  </si>
  <si>
    <t>ITEM8(ea)_15</t>
  </si>
  <si>
    <t>ITEM9(ea)_15</t>
  </si>
  <si>
    <t>ITEM10(ea)_15</t>
  </si>
  <si>
    <t>ITEM11(s)_15</t>
  </si>
  <si>
    <t>SUM1(kg)_15</t>
  </si>
  <si>
    <t>SUM2(ea)_15</t>
  </si>
  <si>
    <t>SUM3(kg)_15</t>
  </si>
  <si>
    <t>SUM4(hr)_15</t>
  </si>
  <si>
    <t>ITEM16_15</t>
  </si>
  <si>
    <t>REF_16</t>
  </si>
  <si>
    <t>NUM_16</t>
  </si>
  <si>
    <t>LIST1_16</t>
  </si>
  <si>
    <t>LIST2_16</t>
  </si>
  <si>
    <t>ITEM3(kg)_16</t>
  </si>
  <si>
    <t>ITEM4(kg)_16</t>
  </si>
  <si>
    <t>LIST3_16</t>
  </si>
  <si>
    <t>LIST4_16</t>
  </si>
  <si>
    <t>ITEM7(g)_16</t>
  </si>
  <si>
    <t>ITEM8(ea)_16</t>
  </si>
  <si>
    <t>ITEM9(ea)_16</t>
  </si>
  <si>
    <t>ITEM10(ea)_16</t>
  </si>
  <si>
    <t>ITEM11(s)_16</t>
  </si>
  <si>
    <t>SUM1(kg)_16</t>
  </si>
  <si>
    <t>SUM2(ea)_16</t>
  </si>
  <si>
    <t>SUM3(kg)_16</t>
  </si>
  <si>
    <t>SUM4(hr)_16</t>
  </si>
  <si>
    <t>ITEM16_16</t>
  </si>
  <si>
    <t>REF_17</t>
  </si>
  <si>
    <t>NUM_17</t>
  </si>
  <si>
    <t>LIST1_17</t>
  </si>
  <si>
    <t>LIST2_17</t>
  </si>
  <si>
    <t>ITEM3(kg)_17</t>
  </si>
  <si>
    <t>ITEM4(kg)_17</t>
  </si>
  <si>
    <t>LIST3_17</t>
  </si>
  <si>
    <t>LIST4_17</t>
  </si>
  <si>
    <t>ITEM7(g)_17</t>
  </si>
  <si>
    <t>ITEM8(ea)_17</t>
  </si>
  <si>
    <t>ITEM9(ea)_17</t>
  </si>
  <si>
    <t>ITEM10(ea)_17</t>
  </si>
  <si>
    <t>ITEM11(s)_17</t>
  </si>
  <si>
    <t>SUM1(kg)_17</t>
  </si>
  <si>
    <t>SUM2(ea)_17</t>
  </si>
  <si>
    <t>SUM3(kg)_17</t>
  </si>
  <si>
    <t>SUM4(hr)_17</t>
  </si>
  <si>
    <t>ITEM16_17</t>
  </si>
  <si>
    <t>REF_18</t>
  </si>
  <si>
    <t>NUM_18</t>
  </si>
  <si>
    <t>LIST1_18</t>
  </si>
  <si>
    <t>LIST2_18</t>
  </si>
  <si>
    <t>ITEM3(kg)_18</t>
  </si>
  <si>
    <t>ITEM4(kg)_18</t>
  </si>
  <si>
    <t>LIST3_18</t>
  </si>
  <si>
    <t>LIST4_18</t>
  </si>
  <si>
    <t>ITEM7(g)_18</t>
  </si>
  <si>
    <t>ITEM8(ea)_18</t>
  </si>
  <si>
    <t>ITEM9(ea)_18</t>
  </si>
  <si>
    <t>ITEM10(ea)_18</t>
  </si>
  <si>
    <t>ITEM11(s)_18</t>
  </si>
  <si>
    <t>SUM1(kg)_18</t>
  </si>
  <si>
    <t>SUM2(ea)_18</t>
  </si>
  <si>
    <t>SUM3(kg)_18</t>
  </si>
  <si>
    <t>SUM4(hr)_18</t>
  </si>
  <si>
    <t>ITEM16_18</t>
  </si>
  <si>
    <t>REF_19</t>
  </si>
  <si>
    <t>NUM_19</t>
  </si>
  <si>
    <t>LIST1_19</t>
  </si>
  <si>
    <t>LIST2_19</t>
  </si>
  <si>
    <t>ITEM3(kg)_19</t>
  </si>
  <si>
    <t>ITEM4(kg)_19</t>
  </si>
  <si>
    <t>LIST3_19</t>
  </si>
  <si>
    <t>LIST4_19</t>
  </si>
  <si>
    <t>ITEM7(g)_19</t>
  </si>
  <si>
    <t>ITEM8(ea)_19</t>
  </si>
  <si>
    <t>ITEM9(ea)_19</t>
  </si>
  <si>
    <t>ITEM10(ea)_19</t>
  </si>
  <si>
    <t>ITEM11(s)_19</t>
  </si>
  <si>
    <t>SUM1(kg)_19</t>
  </si>
  <si>
    <t>SUM2(ea)_19</t>
  </si>
  <si>
    <t>SUM3(kg)_19</t>
  </si>
  <si>
    <t>SUM4(hr)_19</t>
  </si>
  <si>
    <t>ITEM16_19</t>
  </si>
  <si>
    <t>REF_20</t>
  </si>
  <si>
    <t>NUM_20</t>
  </si>
  <si>
    <t>LIST1_20</t>
  </si>
  <si>
    <t>LIST2_20</t>
  </si>
  <si>
    <t>ITEM3(kg)_20</t>
  </si>
  <si>
    <t>ITEM4(kg)_20</t>
  </si>
  <si>
    <t>LIST3_20</t>
  </si>
  <si>
    <t>LIST4_20</t>
  </si>
  <si>
    <t>ITEM7(g)_20</t>
  </si>
  <si>
    <t>ITEM8(ea)_20</t>
  </si>
  <si>
    <t>ITEM9(ea)_20</t>
  </si>
  <si>
    <t>ITEM10(ea)_20</t>
  </si>
  <si>
    <t>ITEM11(s)_20</t>
  </si>
  <si>
    <t>SUM1(kg)_20</t>
  </si>
  <si>
    <t>SUM2(ea)_20</t>
  </si>
  <si>
    <t>SUM3(kg)_20</t>
  </si>
  <si>
    <t>SUM4(hr)_20</t>
  </si>
  <si>
    <t>ITEM16_20</t>
  </si>
  <si>
    <t>REF_2</t>
    <phoneticPr fontId="1" type="noConversion"/>
  </si>
  <si>
    <t>NUM_2</t>
    <phoneticPr fontId="1" type="noConversion"/>
  </si>
  <si>
    <t>LIST1_2</t>
    <phoneticPr fontId="1" type="noConversion"/>
  </si>
  <si>
    <t>LIST2_2</t>
    <phoneticPr fontId="1" type="noConversion"/>
  </si>
  <si>
    <t>ITEM3(kg)_2</t>
    <phoneticPr fontId="1" type="noConversion"/>
  </si>
  <si>
    <t>ITEM4(kg)_2</t>
    <phoneticPr fontId="1" type="noConversion"/>
  </si>
  <si>
    <t>LIST3_2</t>
    <phoneticPr fontId="1" type="noConversion"/>
  </si>
  <si>
    <t>LIST4_2</t>
    <phoneticPr fontId="1" type="noConversion"/>
  </si>
  <si>
    <t>ITEM2(%)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</si>
</sst>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176" formatCode="#,##0_ &quot;kg&quot;;[Red]\-#,##0\ &quot;kg&quot;"/>
    <numFmt numFmtId="177" formatCode="#,##0_ &quot;g&quot;;[Red]\-#,##0\ &quot;g&quot;"/>
    <numFmt numFmtId="178" formatCode="#,##0_ &quot;ea&quot;;[Red]\-#,##0\ &quot;ea&quot;"/>
    <numFmt numFmtId="179" formatCode="#,##0_ &quot;s&quot;;[Red]\-#,##0\ &quot;s&quot;"/>
    <numFmt numFmtId="180" formatCode="#,##0_ &quot;ton&quot;;[Red]\-#,##0\ &quot;ton&quot;"/>
    <numFmt numFmtId="181" formatCode="yyyy&quot;년&quot;\ m&quot;월&quot;\ d&quot;일&quot;;@"/>
    <numFmt numFmtId="182" formatCode="yyyy\-mm\-dd;@"/>
    <numFmt numFmtId="183" formatCode="#,##0.00_ &quot;hr&quot;;[Red]\-#,##0.00\ &quot;hr&quot;"/>
  </numFmts>
  <fonts count="9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b/>
      <sz val="12"/>
      <name val="맑은 고딕"/>
      <family val="2"/>
      <charset val="129"/>
      <scheme val="minor"/>
    </font>
    <font>
      <b/>
      <sz val="72"/>
      <name val="맑은 고딕"/>
      <family val="2"/>
      <charset val="129"/>
      <scheme val="minor"/>
    </font>
    <font>
      <sz val="10"/>
      <color rgb="FF000000"/>
      <name val="Malgun Gothic"/>
      <family val="2"/>
      <charset val="129"/>
    </font>
    <font>
      <b/>
      <sz val="10"/>
      <color rgb="FF000000"/>
      <name val="Malgun Gothic"/>
      <family val="2"/>
      <charset val="129"/>
    </font>
    <font>
      <b/>
      <sz val="10"/>
      <color rgb="FF00000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vertical="center"/>
    </xf>
    <xf numFmtId="18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vertical="center"/>
    </xf>
    <xf numFmtId="0" fontId="3" fillId="2" borderId="0" xfId="0" applyNumberFormat="1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180" fontId="3" fillId="2" borderId="1" xfId="1" applyNumberFormat="1" applyFont="1" applyFill="1" applyBorder="1" applyAlignment="1">
      <alignment horizontal="center" vertical="center"/>
    </xf>
    <xf numFmtId="176" fontId="3" fillId="2" borderId="1" xfId="1" applyNumberFormat="1" applyFont="1" applyFill="1" applyBorder="1" applyAlignment="1">
      <alignment horizontal="center" vertical="center"/>
    </xf>
    <xf numFmtId="177" fontId="3" fillId="2" borderId="1" xfId="1" applyNumberFormat="1" applyFont="1" applyFill="1" applyBorder="1" applyAlignment="1">
      <alignment horizontal="center" vertical="center"/>
    </xf>
    <xf numFmtId="178" fontId="3" fillId="2" borderId="1" xfId="1" applyNumberFormat="1" applyFont="1" applyFill="1" applyBorder="1" applyAlignment="1">
      <alignment horizontal="center" vertical="center"/>
    </xf>
    <xf numFmtId="179" fontId="3" fillId="2" borderId="1" xfId="1" applyNumberFormat="1" applyFont="1" applyFill="1" applyBorder="1" applyAlignment="1">
      <alignment horizontal="center" vertical="center"/>
    </xf>
    <xf numFmtId="183" fontId="3" fillId="2" borderId="1" xfId="1" applyNumberFormat="1" applyFont="1" applyFill="1" applyBorder="1" applyAlignment="1">
      <alignment horizontal="center" vertical="center"/>
    </xf>
    <xf numFmtId="181" fontId="3" fillId="2" borderId="0" xfId="0" applyNumberFormat="1" applyFont="1" applyFill="1" applyBorder="1" applyAlignment="1">
      <alignment horizontal="center" vertical="center"/>
    </xf>
    <xf numFmtId="176" fontId="0" fillId="3" borderId="1" xfId="1" applyNumberFormat="1" applyFont="1" applyFill="1" applyBorder="1" applyAlignment="1">
      <alignment horizontal="center" vertical="center"/>
    </xf>
    <xf numFmtId="177" fontId="3" fillId="3" borderId="1" xfId="1" applyNumberFormat="1" applyFont="1" applyFill="1" applyBorder="1" applyAlignment="1">
      <alignment horizontal="center" vertical="center"/>
    </xf>
    <xf numFmtId="178" fontId="3" fillId="3" borderId="1" xfId="1" applyNumberFormat="1" applyFont="1" applyFill="1" applyBorder="1" applyAlignment="1">
      <alignment horizontal="center" vertical="center"/>
    </xf>
    <xf numFmtId="179" fontId="3" fillId="3" borderId="1" xfId="1" applyNumberFormat="1" applyFont="1" applyFill="1" applyBorder="1" applyAlignment="1">
      <alignment horizontal="center" vertical="center"/>
    </xf>
    <xf numFmtId="176" fontId="3" fillId="3" borderId="1" xfId="1" applyNumberFormat="1" applyFont="1" applyFill="1" applyBorder="1" applyAlignment="1">
      <alignment horizontal="center" vertical="center"/>
    </xf>
    <xf numFmtId="183" fontId="3" fillId="3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3" fillId="2" borderId="6" xfId="0" applyNumberFormat="1" applyFont="1" applyFill="1" applyBorder="1" applyAlignment="1">
      <alignment horizontal="center" vertical="center"/>
    </xf>
    <xf numFmtId="0" fontId="3" fillId="2" borderId="7" xfId="0" applyNumberFormat="1" applyFont="1" applyFill="1" applyBorder="1" applyAlignment="1">
      <alignment horizontal="center" vertical="center"/>
    </xf>
    <xf numFmtId="0" fontId="3" fillId="2" borderId="8" xfId="0" applyNumberFormat="1" applyFont="1" applyFill="1" applyBorder="1" applyAlignment="1">
      <alignment horizontal="center" vertical="center"/>
    </xf>
    <xf numFmtId="0" fontId="3" fillId="2" borderId="9" xfId="0" applyNumberFormat="1" applyFont="1" applyFill="1" applyBorder="1" applyAlignment="1">
      <alignment horizontal="center" vertical="center"/>
    </xf>
    <xf numFmtId="0" fontId="3" fillId="2" borderId="0" xfId="0" applyNumberFormat="1" applyFont="1" applyFill="1" applyBorder="1" applyAlignment="1">
      <alignment horizontal="center" vertical="center"/>
    </xf>
    <xf numFmtId="0" fontId="3" fillId="2" borderId="10" xfId="0" applyNumberFormat="1" applyFont="1" applyFill="1" applyBorder="1" applyAlignment="1">
      <alignment horizontal="center" vertical="center"/>
    </xf>
    <xf numFmtId="0" fontId="3" fillId="2" borderId="11" xfId="0" applyNumberFormat="1" applyFont="1" applyFill="1" applyBorder="1" applyAlignment="1">
      <alignment horizontal="center" vertical="center"/>
    </xf>
    <xf numFmtId="0" fontId="3" fillId="2" borderId="4" xfId="0" applyNumberFormat="1" applyFont="1" applyFill="1" applyBorder="1" applyAlignment="1">
      <alignment horizontal="center" vertical="center"/>
    </xf>
    <xf numFmtId="0" fontId="3" fillId="2" borderId="12" xfId="0" applyNumberFormat="1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82" fontId="3" fillId="2" borderId="1" xfId="0" applyNumberFormat="1" applyFont="1" applyFill="1" applyBorder="1" applyAlignment="1">
      <alignment horizontal="center" vertical="center"/>
    </xf>
    <xf numFmtId="0" fontId="3" fillId="2" borderId="3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14" fontId="4" fillId="3" borderId="3" xfId="0" applyNumberFormat="1" applyFont="1" applyFill="1" applyBorder="1" applyAlignment="1">
      <alignment horizontal="center" vertical="center"/>
    </xf>
    <xf numFmtId="14" fontId="4" fillId="3" borderId="5" xfId="0" applyNumberFormat="1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7">
    <dxf>
      <numFmt numFmtId="182" formatCode="yyyy\-mm\-dd;@"/>
    </dxf>
    <dxf>
      <numFmt numFmtId="0" formatCode="General"/>
    </dxf>
    <dxf>
      <numFmt numFmtId="181" formatCode="yyyy&quot;년&quot;\ m&quot;월&quot;\ d&quot;일&quot;;@"/>
    </dxf>
    <dxf>
      <numFmt numFmtId="182" formatCode="yyyy\-mm\-dd;@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21167</xdr:colOff>
      <xdr:row>0</xdr:row>
      <xdr:rowOff>0</xdr:rowOff>
    </xdr:from>
    <xdr:to>
      <xdr:col>3</xdr:col>
      <xdr:colOff>21167</xdr:colOff>
      <xdr:row>1</xdr:row>
      <xdr:rowOff>0</xdr:rowOff>
    </xdr:to>
    <xdr:sp macro="[0]!module_save" textlink="">
      <xdr:nvSpPr>
        <xdr:cNvPr id="2" name="직사각형 1">
          <a:extLst>
            <a:ext uri="{FF2B5EF4-FFF2-40B4-BE49-F238E27FC236}">
              <a16:creationId xmlns:a16="http://schemas.microsoft.com/office/drawing/2014/main" id="{32772544-5EC4-9A4B-BC08-F0DB319F45C7}"/>
            </a:ext>
          </a:extLst>
        </xdr:cNvPr>
        <xdr:cNvSpPr/>
      </xdr:nvSpPr>
      <xdr:spPr>
        <a:xfrm>
          <a:off x="1214967" y="0"/>
          <a:ext cx="952500" cy="381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600" b="1">
              <a:solidFill>
                <a:schemeClr val="bg1"/>
              </a:solidFill>
              <a:latin typeface="+mn-lt"/>
              <a:ea typeface="+mn-ea"/>
              <a:cs typeface="+mn-cs"/>
            </a:rPr>
            <a:t>SAVE</a:t>
          </a:r>
          <a:endParaRPr lang="ko-KR" altLang="en-US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[0]!module_new" textlink="">
      <xdr:nvSpPr>
        <xdr:cNvPr id="3" name="직사각형 2">
          <a:extLst>
            <a:ext uri="{FF2B5EF4-FFF2-40B4-BE49-F238E27FC236}">
              <a16:creationId xmlns:a16="http://schemas.microsoft.com/office/drawing/2014/main" id="{88D46546-1EB5-1544-AB62-EFCBCCCECC65}"/>
            </a:ext>
          </a:extLst>
        </xdr:cNvPr>
        <xdr:cNvSpPr/>
      </xdr:nvSpPr>
      <xdr:spPr>
        <a:xfrm>
          <a:off x="241300" y="0"/>
          <a:ext cx="952500" cy="381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600" b="1">
              <a:solidFill>
                <a:schemeClr val="bg1"/>
              </a:solidFill>
              <a:latin typeface="+mn-lt"/>
              <a:ea typeface="+mn-ea"/>
              <a:cs typeface="+mn-cs"/>
            </a:rPr>
            <a:t>NEW</a:t>
          </a:r>
          <a:endParaRPr lang="ko-KR" altLang="en-US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42334</xdr:colOff>
      <xdr:row>0</xdr:row>
      <xdr:rowOff>0</xdr:rowOff>
    </xdr:from>
    <xdr:to>
      <xdr:col>4</xdr:col>
      <xdr:colOff>42334</xdr:colOff>
      <xdr:row>1</xdr:row>
      <xdr:rowOff>0</xdr:rowOff>
    </xdr:to>
    <xdr:sp macro="[0]!module_load" textlink="">
      <xdr:nvSpPr>
        <xdr:cNvPr id="4" name="직사각형 3">
          <a:extLst>
            <a:ext uri="{FF2B5EF4-FFF2-40B4-BE49-F238E27FC236}">
              <a16:creationId xmlns:a16="http://schemas.microsoft.com/office/drawing/2014/main" id="{17F81CB8-4751-AD41-AECB-32B9DFE38A17}"/>
            </a:ext>
          </a:extLst>
        </xdr:cNvPr>
        <xdr:cNvSpPr/>
      </xdr:nvSpPr>
      <xdr:spPr>
        <a:xfrm>
          <a:off x="2188634" y="0"/>
          <a:ext cx="952500" cy="381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600" b="1">
              <a:solidFill>
                <a:schemeClr val="bg1"/>
              </a:solidFill>
              <a:latin typeface="+mn-lt"/>
              <a:ea typeface="+mn-ea"/>
              <a:cs typeface="+mn-cs"/>
            </a:rPr>
            <a:t>LOAD</a:t>
          </a:r>
          <a:endParaRPr lang="ko-KR" altLang="en-US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105835</xdr:colOff>
      <xdr:row>0</xdr:row>
      <xdr:rowOff>0</xdr:rowOff>
    </xdr:from>
    <xdr:to>
      <xdr:col>7</xdr:col>
      <xdr:colOff>105835</xdr:colOff>
      <xdr:row>1</xdr:row>
      <xdr:rowOff>0</xdr:rowOff>
    </xdr:to>
    <xdr:sp macro="[0]!module_delete" textlink="">
      <xdr:nvSpPr>
        <xdr:cNvPr id="6" name="직사각형 5">
          <a:extLst>
            <a:ext uri="{FF2B5EF4-FFF2-40B4-BE49-F238E27FC236}">
              <a16:creationId xmlns:a16="http://schemas.microsoft.com/office/drawing/2014/main" id="{219833B2-CAA3-5746-8925-5577654FBC02}"/>
            </a:ext>
          </a:extLst>
        </xdr:cNvPr>
        <xdr:cNvSpPr/>
      </xdr:nvSpPr>
      <xdr:spPr>
        <a:xfrm>
          <a:off x="5109635" y="0"/>
          <a:ext cx="952500" cy="381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600" b="1">
              <a:solidFill>
                <a:schemeClr val="bg1"/>
              </a:solidFill>
              <a:latin typeface="+mn-lt"/>
              <a:ea typeface="+mn-ea"/>
              <a:cs typeface="+mn-cs"/>
            </a:rPr>
            <a:t>DELETE</a:t>
          </a:r>
          <a:endParaRPr lang="ko-KR" altLang="en-US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63501</xdr:colOff>
      <xdr:row>0</xdr:row>
      <xdr:rowOff>0</xdr:rowOff>
    </xdr:from>
    <xdr:to>
      <xdr:col>5</xdr:col>
      <xdr:colOff>63501</xdr:colOff>
      <xdr:row>1</xdr:row>
      <xdr:rowOff>0</xdr:rowOff>
    </xdr:to>
    <xdr:sp macro="[0]!module_prev" textlink="">
      <xdr:nvSpPr>
        <xdr:cNvPr id="8" name="직사각형 7">
          <a:extLst>
            <a:ext uri="{FF2B5EF4-FFF2-40B4-BE49-F238E27FC236}">
              <a16:creationId xmlns:a16="http://schemas.microsoft.com/office/drawing/2014/main" id="{FCB26168-1213-1D4A-B87E-CE202B1908C7}"/>
            </a:ext>
          </a:extLst>
        </xdr:cNvPr>
        <xdr:cNvSpPr/>
      </xdr:nvSpPr>
      <xdr:spPr>
        <a:xfrm>
          <a:off x="3162301" y="0"/>
          <a:ext cx="952500" cy="381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600" b="1">
              <a:solidFill>
                <a:schemeClr val="bg1"/>
              </a:solidFill>
              <a:latin typeface="+mn-lt"/>
              <a:ea typeface="+mn-ea"/>
              <a:cs typeface="+mn-cs"/>
            </a:rPr>
            <a:t>PREV</a:t>
          </a:r>
          <a:endParaRPr lang="ko-KR" altLang="en-US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84668</xdr:colOff>
      <xdr:row>0</xdr:row>
      <xdr:rowOff>0</xdr:rowOff>
    </xdr:from>
    <xdr:to>
      <xdr:col>6</xdr:col>
      <xdr:colOff>84668</xdr:colOff>
      <xdr:row>1</xdr:row>
      <xdr:rowOff>0</xdr:rowOff>
    </xdr:to>
    <xdr:sp macro="[0]!module_next" textlink="">
      <xdr:nvSpPr>
        <xdr:cNvPr id="9" name="직사각형 8">
          <a:extLst>
            <a:ext uri="{FF2B5EF4-FFF2-40B4-BE49-F238E27FC236}">
              <a16:creationId xmlns:a16="http://schemas.microsoft.com/office/drawing/2014/main" id="{56E1FC61-A63C-5B4B-B367-550400086A35}"/>
            </a:ext>
          </a:extLst>
        </xdr:cNvPr>
        <xdr:cNvSpPr/>
      </xdr:nvSpPr>
      <xdr:spPr>
        <a:xfrm>
          <a:off x="4135968" y="0"/>
          <a:ext cx="952500" cy="381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600" b="1">
              <a:solidFill>
                <a:schemeClr val="bg1"/>
              </a:solidFill>
              <a:latin typeface="+mn-lt"/>
              <a:ea typeface="+mn-ea"/>
              <a:cs typeface="+mn-cs"/>
            </a:rPr>
            <a:t>NEXT</a:t>
          </a:r>
          <a:endParaRPr lang="ko-KR" altLang="en-US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127000</xdr:colOff>
      <xdr:row>0</xdr:row>
      <xdr:rowOff>0</xdr:rowOff>
    </xdr:from>
    <xdr:to>
      <xdr:col>8</xdr:col>
      <xdr:colOff>127000</xdr:colOff>
      <xdr:row>1</xdr:row>
      <xdr:rowOff>0</xdr:rowOff>
    </xdr:to>
    <xdr:sp macro="[0]!module_reset" textlink="">
      <xdr:nvSpPr>
        <xdr:cNvPr id="10" name="직사각형 9">
          <a:extLst>
            <a:ext uri="{FF2B5EF4-FFF2-40B4-BE49-F238E27FC236}">
              <a16:creationId xmlns:a16="http://schemas.microsoft.com/office/drawing/2014/main" id="{373BDB8F-7451-C445-837C-FBF45936E565}"/>
            </a:ext>
          </a:extLst>
        </xdr:cNvPr>
        <xdr:cNvSpPr/>
      </xdr:nvSpPr>
      <xdr:spPr>
        <a:xfrm flipH="1">
          <a:off x="6083300" y="0"/>
          <a:ext cx="952500" cy="381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600" b="1">
              <a:solidFill>
                <a:schemeClr val="bg1"/>
              </a:solidFill>
              <a:latin typeface="+mn-lt"/>
              <a:ea typeface="+mn-ea"/>
              <a:cs typeface="+mn-cs"/>
            </a:rPr>
            <a:t>RESET</a:t>
          </a:r>
          <a:endParaRPr lang="ko-KR" altLang="en-US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A1:NG2" insertRow="1" totalsRowShown="0" headerRowDxfId="6">
  <autoFilter ref="A1:NG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  <filterColumn colId="200" hiddenButton="1"/>
    <filterColumn colId="201" hiddenButton="1"/>
    <filterColumn colId="202" hiddenButton="1"/>
    <filterColumn colId="203" hiddenButton="1"/>
    <filterColumn colId="204" hiddenButton="1"/>
    <filterColumn colId="205" hiddenButton="1"/>
    <filterColumn colId="206" hiddenButton="1"/>
    <filterColumn colId="207" hiddenButton="1"/>
    <filterColumn colId="208" hiddenButton="1"/>
    <filterColumn colId="209" hiddenButton="1"/>
    <filterColumn colId="210" hiddenButton="1"/>
    <filterColumn colId="211" hiddenButton="1"/>
    <filterColumn colId="212" hiddenButton="1"/>
    <filterColumn colId="213" hiddenButton="1"/>
    <filterColumn colId="214" hiddenButton="1"/>
    <filterColumn colId="215" hiddenButton="1"/>
    <filterColumn colId="216" hiddenButton="1"/>
    <filterColumn colId="217" hiddenButton="1"/>
    <filterColumn colId="218" hiddenButton="1"/>
    <filterColumn colId="219" hiddenButton="1"/>
    <filterColumn colId="220" hiddenButton="1"/>
    <filterColumn colId="221" hiddenButton="1"/>
    <filterColumn colId="222" hiddenButton="1"/>
    <filterColumn colId="223" hiddenButton="1"/>
    <filterColumn colId="224" hiddenButton="1"/>
    <filterColumn colId="225" hiddenButton="1"/>
    <filterColumn colId="226" hiddenButton="1"/>
    <filterColumn colId="227" hiddenButton="1"/>
    <filterColumn colId="228" hiddenButton="1"/>
    <filterColumn colId="229" hiddenButton="1"/>
    <filterColumn colId="230" hiddenButton="1"/>
    <filterColumn colId="231" hiddenButton="1"/>
    <filterColumn colId="232" hiddenButton="1"/>
    <filterColumn colId="233" hiddenButton="1"/>
    <filterColumn colId="234" hiddenButton="1"/>
    <filterColumn colId="235" hiddenButton="1"/>
    <filterColumn colId="236" hiddenButton="1"/>
    <filterColumn colId="237" hiddenButton="1"/>
    <filterColumn colId="238" hiddenButton="1"/>
    <filterColumn colId="239" hiddenButton="1"/>
    <filterColumn colId="240" hiddenButton="1"/>
    <filterColumn colId="241" hiddenButton="1"/>
    <filterColumn colId="242" hiddenButton="1"/>
    <filterColumn colId="243" hiddenButton="1"/>
    <filterColumn colId="244" hiddenButton="1"/>
    <filterColumn colId="245" hiddenButton="1"/>
    <filterColumn colId="246" hiddenButton="1"/>
    <filterColumn colId="247" hiddenButton="1"/>
    <filterColumn colId="248" hiddenButton="1"/>
    <filterColumn colId="249" hiddenButton="1"/>
    <filterColumn colId="250" hiddenButton="1"/>
    <filterColumn colId="251" hiddenButton="1"/>
    <filterColumn colId="252" hiddenButton="1"/>
    <filterColumn colId="253" hiddenButton="1"/>
    <filterColumn colId="254" hiddenButton="1"/>
    <filterColumn colId="255" hiddenButton="1"/>
    <filterColumn colId="256" hiddenButton="1"/>
    <filterColumn colId="257" hiddenButton="1"/>
    <filterColumn colId="258" hiddenButton="1"/>
    <filterColumn colId="259" hiddenButton="1"/>
    <filterColumn colId="260" hiddenButton="1"/>
    <filterColumn colId="261" hiddenButton="1"/>
    <filterColumn colId="262" hiddenButton="1"/>
    <filterColumn colId="263" hiddenButton="1"/>
    <filterColumn colId="264" hiddenButton="1"/>
    <filterColumn colId="265" hiddenButton="1"/>
    <filterColumn colId="266" hiddenButton="1"/>
    <filterColumn colId="267" hiddenButton="1"/>
    <filterColumn colId="268" hiddenButton="1"/>
    <filterColumn colId="269" hiddenButton="1"/>
    <filterColumn colId="270" hiddenButton="1"/>
    <filterColumn colId="271" hiddenButton="1"/>
    <filterColumn colId="272" hiddenButton="1"/>
    <filterColumn colId="273" hiddenButton="1"/>
    <filterColumn colId="274" hiddenButton="1"/>
    <filterColumn colId="275" hiddenButton="1"/>
    <filterColumn colId="276" hiddenButton="1"/>
    <filterColumn colId="277" hiddenButton="1"/>
    <filterColumn colId="278" hiddenButton="1"/>
    <filterColumn colId="279" hiddenButton="1"/>
    <filterColumn colId="280" hiddenButton="1"/>
    <filterColumn colId="281" hiddenButton="1"/>
    <filterColumn colId="282" hiddenButton="1"/>
    <filterColumn colId="283" hiddenButton="1"/>
    <filterColumn colId="284" hiddenButton="1"/>
    <filterColumn colId="285" hiddenButton="1"/>
    <filterColumn colId="286" hiddenButton="1"/>
    <filterColumn colId="287" hiddenButton="1"/>
    <filterColumn colId="288" hiddenButton="1"/>
    <filterColumn colId="289" hiddenButton="1"/>
    <filterColumn colId="290" hiddenButton="1"/>
    <filterColumn colId="291" hiddenButton="1"/>
    <filterColumn colId="292" hiddenButton="1"/>
    <filterColumn colId="293" hiddenButton="1"/>
    <filterColumn colId="294" hiddenButton="1"/>
    <filterColumn colId="295" hiddenButton="1"/>
    <filterColumn colId="296" hiddenButton="1"/>
    <filterColumn colId="297" hiddenButton="1"/>
    <filterColumn colId="298" hiddenButton="1"/>
    <filterColumn colId="299" hiddenButton="1"/>
    <filterColumn colId="300" hiddenButton="1"/>
    <filterColumn colId="301" hiddenButton="1"/>
    <filterColumn colId="302" hiddenButton="1"/>
    <filterColumn colId="303" hiddenButton="1"/>
    <filterColumn colId="304" hiddenButton="1"/>
    <filterColumn colId="305" hiddenButton="1"/>
    <filterColumn colId="306" hiddenButton="1"/>
    <filterColumn colId="307" hiddenButton="1"/>
    <filterColumn colId="308" hiddenButton="1"/>
    <filterColumn colId="309" hiddenButton="1"/>
    <filterColumn colId="310" hiddenButton="1"/>
    <filterColumn colId="311" hiddenButton="1"/>
    <filterColumn colId="312" hiddenButton="1"/>
    <filterColumn colId="313" hiddenButton="1"/>
    <filterColumn colId="314" hiddenButton="1"/>
    <filterColumn colId="315" hiddenButton="1"/>
    <filterColumn colId="316" hiddenButton="1"/>
    <filterColumn colId="317" hiddenButton="1"/>
    <filterColumn colId="318" hiddenButton="1"/>
    <filterColumn colId="319" hiddenButton="1"/>
    <filterColumn colId="320" hiddenButton="1"/>
    <filterColumn colId="321" hiddenButton="1"/>
    <filterColumn colId="322" hiddenButton="1"/>
    <filterColumn colId="323" hiddenButton="1"/>
    <filterColumn colId="324" hiddenButton="1"/>
    <filterColumn colId="325" hiddenButton="1"/>
    <filterColumn colId="326" hiddenButton="1"/>
    <filterColumn colId="327" hiddenButton="1"/>
    <filterColumn colId="328" hiddenButton="1"/>
    <filterColumn colId="329" hiddenButton="1"/>
    <filterColumn colId="330" hiddenButton="1"/>
    <filterColumn colId="331" hiddenButton="1"/>
    <filterColumn colId="332" hiddenButton="1"/>
    <filterColumn colId="333" hiddenButton="1"/>
    <filterColumn colId="334" hiddenButton="1"/>
    <filterColumn colId="335" hiddenButton="1"/>
    <filterColumn colId="336" hiddenButton="1"/>
    <filterColumn colId="337" hiddenButton="1"/>
    <filterColumn colId="338" hiddenButton="1"/>
    <filterColumn colId="339" hiddenButton="1"/>
    <filterColumn colId="340" hiddenButton="1"/>
    <filterColumn colId="341" hiddenButton="1"/>
    <filterColumn colId="342" hiddenButton="1"/>
    <filterColumn colId="343" hiddenButton="1"/>
    <filterColumn colId="344" hiddenButton="1"/>
    <filterColumn colId="345" hiddenButton="1"/>
    <filterColumn colId="346" hiddenButton="1"/>
    <filterColumn colId="347" hiddenButton="1"/>
    <filterColumn colId="348" hiddenButton="1"/>
    <filterColumn colId="349" hiddenButton="1"/>
    <filterColumn colId="350" hiddenButton="1"/>
    <filterColumn colId="351" hiddenButton="1"/>
    <filterColumn colId="352" hiddenButton="1"/>
    <filterColumn colId="353" hiddenButton="1"/>
    <filterColumn colId="354" hiddenButton="1"/>
    <filterColumn colId="355" hiddenButton="1"/>
    <filterColumn colId="356" hiddenButton="1"/>
    <filterColumn colId="357" hiddenButton="1"/>
    <filterColumn colId="358" hiddenButton="1"/>
    <filterColumn colId="359" hiddenButton="1"/>
    <filterColumn colId="360" hiddenButton="1"/>
    <filterColumn colId="361" hiddenButton="1"/>
    <filterColumn colId="362" hiddenButton="1"/>
    <filterColumn colId="363" hiddenButton="1"/>
    <filterColumn colId="364" hiddenButton="1"/>
    <filterColumn colId="365" hiddenButton="1"/>
    <filterColumn colId="366" hiddenButton="1"/>
    <filterColumn colId="367" hiddenButton="1"/>
    <filterColumn colId="368" hiddenButton="1"/>
    <filterColumn colId="369" hiddenButton="1"/>
    <filterColumn colId="370" hiddenButton="1"/>
  </autoFilter>
  <tableColumns count="371">
    <tableColumn id="169" xr3:uid="{00000000-0010-0000-0000-0000A9000000}" name="SERIAL" dataDxfId="5" totalsRowDxfId="4"/>
    <tableColumn id="170" xr3:uid="{00000000-0010-0000-0000-0000AA000000}" name="DATE" dataDxfId="3" totalsRowDxfId="2"/>
    <tableColumn id="3" xr3:uid="{00000000-0010-0000-0000-000003000000}" name="QUARTER"/>
    <tableColumn id="4" xr3:uid="{00000000-0010-0000-0000-000004000000}" name="YEAR"/>
    <tableColumn id="5" xr3:uid="{00000000-0010-0000-0000-000005000000}" name="MONTH"/>
    <tableColumn id="6" xr3:uid="{00000000-0010-0000-0000-000006000000}" name="DAY"/>
    <tableColumn id="8" xr3:uid="{00000000-0010-0000-0000-000008000000}" name="STATIC_LIST1"/>
    <tableColumn id="159" xr3:uid="{00000000-0010-0000-0000-00009F000000}" name="STATIC_LIST2"/>
    <tableColumn id="9" xr3:uid="{00000000-0010-0000-0000-000009000000}" name="STATIC_ITEM1"/>
    <tableColumn id="10" xr3:uid="{00000000-0010-0000-0000-00000A000000}" name="STATIC_ITEM2"/>
    <tableColumn id="11" xr3:uid="{00000000-0010-0000-0000-00000B000000}" name="MEMO"/>
    <tableColumn id="12" xr3:uid="{00000000-0010-0000-0000-00000C000000}" name="REF_1" dataDxfId="1"/>
    <tableColumn id="13" xr3:uid="{00000000-0010-0000-0000-00000D000000}" name="NUM_1"/>
    <tableColumn id="14" xr3:uid="{00000000-0010-0000-0000-00000E000000}" name="LIST1_1"/>
    <tableColumn id="15" xr3:uid="{00000000-0010-0000-0000-00000F000000}" name="LIST2_1"/>
    <tableColumn id="16" xr3:uid="{00000000-0010-0000-0000-000010000000}" name="ITEM3(kg)_1"/>
    <tableColumn id="17" xr3:uid="{00000000-0010-0000-0000-000011000000}" name="ITEM4(kg)_1"/>
    <tableColumn id="18" xr3:uid="{00000000-0010-0000-0000-000012000000}" name="LIST3_1"/>
    <tableColumn id="19" xr3:uid="{00000000-0010-0000-0000-000013000000}" name="LIST4_1"/>
    <tableColumn id="20" xr3:uid="{00000000-0010-0000-0000-000014000000}" name="ITEM7(g)_1"/>
    <tableColumn id="21" xr3:uid="{00000000-0010-0000-0000-000015000000}" name="ITEM8(ea)_1"/>
    <tableColumn id="158" xr3:uid="{00000000-0010-0000-0000-00009E000000}" name="ITEM9(ea)_1"/>
    <tableColumn id="7" xr3:uid="{00000000-0010-0000-0000-000007000000}" name="ITEM10(ea)_1"/>
    <tableColumn id="22" xr3:uid="{00000000-0010-0000-0000-000016000000}" name="ITEM11(s)_1"/>
    <tableColumn id="23" xr3:uid="{00000000-0010-0000-0000-000017000000}" name="SUM1(kg)_1"/>
    <tableColumn id="160" xr3:uid="{00000000-0010-0000-0000-0000A0000000}" name="SUM2(ea)_1"/>
    <tableColumn id="24" xr3:uid="{00000000-0010-0000-0000-000018000000}" name="SUM3(kg)_1"/>
    <tableColumn id="25" xr3:uid="{00000000-0010-0000-0000-000019000000}" name="SUM4(hr)_1"/>
    <tableColumn id="26" xr3:uid="{00000000-0010-0000-0000-00001A000000}" name="ITEM16_1"/>
    <tableColumn id="27" xr3:uid="{00000000-0010-0000-0000-00001B000000}" name="REF_2"/>
    <tableColumn id="28" xr3:uid="{00000000-0010-0000-0000-00001C000000}" name="NUM_2"/>
    <tableColumn id="29" xr3:uid="{00000000-0010-0000-0000-00001D000000}" name="LIST1_2"/>
    <tableColumn id="30" xr3:uid="{00000000-0010-0000-0000-00001E000000}" name="LIST2_2"/>
    <tableColumn id="31" xr3:uid="{00000000-0010-0000-0000-00001F000000}" name="ITEM3(kg)_2"/>
    <tableColumn id="32" xr3:uid="{00000000-0010-0000-0000-000020000000}" name="ITEM4(kg)_2"/>
    <tableColumn id="33" xr3:uid="{00000000-0010-0000-0000-000021000000}" name="LIST3_2"/>
    <tableColumn id="34" xr3:uid="{00000000-0010-0000-0000-000022000000}" name="LIST4_2"/>
    <tableColumn id="35" xr3:uid="{00000000-0010-0000-0000-000023000000}" name="ITEM7(g)_2"/>
    <tableColumn id="36" xr3:uid="{00000000-0010-0000-0000-000024000000}" name="ITEM8(ea)_2"/>
    <tableColumn id="37" xr3:uid="{00000000-0010-0000-0000-000025000000}" name="ITEM9(ea)_2"/>
    <tableColumn id="161" xr3:uid="{00000000-0010-0000-0000-0000A1000000}" name="ITEM10(ea)_2"/>
    <tableColumn id="38" xr3:uid="{00000000-0010-0000-0000-000026000000}" name="ITEM11(s)_2"/>
    <tableColumn id="39" xr3:uid="{00000000-0010-0000-0000-000027000000}" name="SUM1(kg)_2"/>
    <tableColumn id="40" xr3:uid="{00000000-0010-0000-0000-000028000000}" name="SUM2(ea)_2"/>
    <tableColumn id="41" xr3:uid="{00000000-0010-0000-0000-000029000000}" name="SUM3(kg)_2"/>
    <tableColumn id="42" xr3:uid="{00000000-0010-0000-0000-00002A000000}" name="SUM4(hr)_2"/>
    <tableColumn id="43" xr3:uid="{00000000-0010-0000-0000-00002B000000}" name="ITEM16_2"/>
    <tableColumn id="44" xr3:uid="{00000000-0010-0000-0000-00002C000000}" name="REF_3"/>
    <tableColumn id="45" xr3:uid="{00000000-0010-0000-0000-00002D000000}" name="NUM_3"/>
    <tableColumn id="46" xr3:uid="{00000000-0010-0000-0000-00002E000000}" name="LIST1_3"/>
    <tableColumn id="47" xr3:uid="{00000000-0010-0000-0000-00002F000000}" name="LIST2_3"/>
    <tableColumn id="48" xr3:uid="{00000000-0010-0000-0000-000030000000}" name="ITEM3(kg)_3"/>
    <tableColumn id="49" xr3:uid="{00000000-0010-0000-0000-000031000000}" name="ITEM4(kg)_3"/>
    <tableColumn id="50" xr3:uid="{00000000-0010-0000-0000-000032000000}" name="LIST3_3"/>
    <tableColumn id="51" xr3:uid="{00000000-0010-0000-0000-000033000000}" name="LIST4_3"/>
    <tableColumn id="52" xr3:uid="{00000000-0010-0000-0000-000034000000}" name="ITEM7(g)_3"/>
    <tableColumn id="162" xr3:uid="{00000000-0010-0000-0000-0000A2000000}" name="ITEM8(ea)_3"/>
    <tableColumn id="53" xr3:uid="{00000000-0010-0000-0000-000035000000}" name="ITEM9(ea)_3"/>
    <tableColumn id="54" xr3:uid="{00000000-0010-0000-0000-000036000000}" name="ITEM10(ea)_3"/>
    <tableColumn id="55" xr3:uid="{00000000-0010-0000-0000-000037000000}" name="ITEM11(s)_3"/>
    <tableColumn id="56" xr3:uid="{00000000-0010-0000-0000-000038000000}" name="SUM1(kg)_3"/>
    <tableColumn id="57" xr3:uid="{00000000-0010-0000-0000-000039000000}" name="SUM2(ea)_3"/>
    <tableColumn id="58" xr3:uid="{00000000-0010-0000-0000-00003A000000}" name="SUM3(kg)_3"/>
    <tableColumn id="59" xr3:uid="{00000000-0010-0000-0000-00003B000000}" name="SUM4(hr)_3"/>
    <tableColumn id="60" xr3:uid="{00000000-0010-0000-0000-00003C000000}" name="ITEM16_3"/>
    <tableColumn id="61" xr3:uid="{00000000-0010-0000-0000-00003D000000}" name="REF_4"/>
    <tableColumn id="62" xr3:uid="{00000000-0010-0000-0000-00003E000000}" name="NUM_4"/>
    <tableColumn id="63" xr3:uid="{00000000-0010-0000-0000-00003F000000}" name="LIST1_4"/>
    <tableColumn id="64" xr3:uid="{00000000-0010-0000-0000-000040000000}" name="LIST2_4"/>
    <tableColumn id="65" xr3:uid="{00000000-0010-0000-0000-000041000000}" name="ITEM3(kg)_4"/>
    <tableColumn id="66" xr3:uid="{00000000-0010-0000-0000-000042000000}" name="ITEM4(kg)_4"/>
    <tableColumn id="67" xr3:uid="{00000000-0010-0000-0000-000043000000}" name="LIST3_4"/>
    <tableColumn id="163" xr3:uid="{00000000-0010-0000-0000-0000A3000000}" name="LIST4_4"/>
    <tableColumn id="68" xr3:uid="{00000000-0010-0000-0000-000044000000}" name="ITEM7(g)_4"/>
    <tableColumn id="69" xr3:uid="{00000000-0010-0000-0000-000045000000}" name="ITEM8(ea)_4"/>
    <tableColumn id="70" xr3:uid="{00000000-0010-0000-0000-000046000000}" name="ITEM9(ea)_4"/>
    <tableColumn id="71" xr3:uid="{00000000-0010-0000-0000-000047000000}" name="ITEM10(ea)_4"/>
    <tableColumn id="72" xr3:uid="{00000000-0010-0000-0000-000048000000}" name="ITEM11(s)_4"/>
    <tableColumn id="73" xr3:uid="{00000000-0010-0000-0000-000049000000}" name="SUM1(kg)_4"/>
    <tableColumn id="74" xr3:uid="{00000000-0010-0000-0000-00004A000000}" name="SUM2(ea)_4"/>
    <tableColumn id="75" xr3:uid="{00000000-0010-0000-0000-00004B000000}" name="SUM3(kg)_4"/>
    <tableColumn id="76" xr3:uid="{00000000-0010-0000-0000-00004C000000}" name="SUM4(hr)_4"/>
    <tableColumn id="77" xr3:uid="{00000000-0010-0000-0000-00004D000000}" name="ITEM16_4"/>
    <tableColumn id="78" xr3:uid="{00000000-0010-0000-0000-00004E000000}" name="REF_5"/>
    <tableColumn id="79" xr3:uid="{00000000-0010-0000-0000-00004F000000}" name="NUM_5"/>
    <tableColumn id="80" xr3:uid="{00000000-0010-0000-0000-000050000000}" name="LIST1_5"/>
    <tableColumn id="81" xr3:uid="{00000000-0010-0000-0000-000051000000}" name="LIST2_5"/>
    <tableColumn id="82" xr3:uid="{00000000-0010-0000-0000-000052000000}" name="ITEM3(kg)_5"/>
    <tableColumn id="164" xr3:uid="{00000000-0010-0000-0000-0000A4000000}" name="ITEM4(kg)_5"/>
    <tableColumn id="83" xr3:uid="{00000000-0010-0000-0000-000053000000}" name="LIST3_5"/>
    <tableColumn id="84" xr3:uid="{00000000-0010-0000-0000-000054000000}" name="LIST4_5"/>
    <tableColumn id="85" xr3:uid="{00000000-0010-0000-0000-000055000000}" name="ITEM7(g)_5"/>
    <tableColumn id="86" xr3:uid="{00000000-0010-0000-0000-000056000000}" name="ITEM8(ea)_5"/>
    <tableColumn id="87" xr3:uid="{00000000-0010-0000-0000-000057000000}" name="ITEM9(ea)_5"/>
    <tableColumn id="88" xr3:uid="{00000000-0010-0000-0000-000058000000}" name="ITEM10(ea)_5"/>
    <tableColumn id="89" xr3:uid="{00000000-0010-0000-0000-000059000000}" name="ITEM11(s)_5"/>
    <tableColumn id="90" xr3:uid="{00000000-0010-0000-0000-00005A000000}" name="SUM1(kg)_5"/>
    <tableColumn id="91" xr3:uid="{00000000-0010-0000-0000-00005B000000}" name="SUM2(ea)_5"/>
    <tableColumn id="92" xr3:uid="{00000000-0010-0000-0000-00005C000000}" name="SUM3(kg)_5"/>
    <tableColumn id="93" xr3:uid="{00000000-0010-0000-0000-00005D000000}" name="SUM4(hr)_5"/>
    <tableColumn id="94" xr3:uid="{00000000-0010-0000-0000-00005E000000}" name="ITEM16_5"/>
    <tableColumn id="95" xr3:uid="{00000000-0010-0000-0000-00005F000000}" name="REF_6"/>
    <tableColumn id="96" xr3:uid="{00000000-0010-0000-0000-000060000000}" name="NUM_6"/>
    <tableColumn id="97" xr3:uid="{00000000-0010-0000-0000-000061000000}" name="LIST1_6"/>
    <tableColumn id="165" xr3:uid="{00000000-0010-0000-0000-0000A5000000}" name="LIST2_6"/>
    <tableColumn id="98" xr3:uid="{00000000-0010-0000-0000-000062000000}" name="ITEM3(kg)_6"/>
    <tableColumn id="99" xr3:uid="{00000000-0010-0000-0000-000063000000}" name="ITEM4(kg)_6"/>
    <tableColumn id="100" xr3:uid="{00000000-0010-0000-0000-000064000000}" name="LIST3_6"/>
    <tableColumn id="101" xr3:uid="{00000000-0010-0000-0000-000065000000}" name="LIST4_6"/>
    <tableColumn id="102" xr3:uid="{00000000-0010-0000-0000-000066000000}" name="ITEM7(g)_6"/>
    <tableColumn id="103" xr3:uid="{00000000-0010-0000-0000-000067000000}" name="ITEM8(ea)_6"/>
    <tableColumn id="104" xr3:uid="{00000000-0010-0000-0000-000068000000}" name="ITEM9(ea)_6"/>
    <tableColumn id="105" xr3:uid="{00000000-0010-0000-0000-000069000000}" name="ITEM10(ea)_6"/>
    <tableColumn id="106" xr3:uid="{00000000-0010-0000-0000-00006A000000}" name="ITEM11(s)_6"/>
    <tableColumn id="107" xr3:uid="{00000000-0010-0000-0000-00006B000000}" name="SUM1(kg)_6"/>
    <tableColumn id="108" xr3:uid="{00000000-0010-0000-0000-00006C000000}" name="SUM2(ea)_6"/>
    <tableColumn id="109" xr3:uid="{00000000-0010-0000-0000-00006D000000}" name="SUM3(kg)_6"/>
    <tableColumn id="110" xr3:uid="{00000000-0010-0000-0000-00006E000000}" name="SUM4(hr)_6"/>
    <tableColumn id="111" xr3:uid="{00000000-0010-0000-0000-00006F000000}" name="ITEM16_6"/>
    <tableColumn id="112" xr3:uid="{00000000-0010-0000-0000-000070000000}" name="REF_7"/>
    <tableColumn id="166" xr3:uid="{00000000-0010-0000-0000-0000A6000000}" name="NUM_7"/>
    <tableColumn id="113" xr3:uid="{00000000-0010-0000-0000-000071000000}" name="LIST1_7"/>
    <tableColumn id="114" xr3:uid="{00000000-0010-0000-0000-000072000000}" name="LIST2_7"/>
    <tableColumn id="115" xr3:uid="{00000000-0010-0000-0000-000073000000}" name="ITEM3(kg)_7"/>
    <tableColumn id="116" xr3:uid="{00000000-0010-0000-0000-000074000000}" name="ITEM4(kg)_7"/>
    <tableColumn id="117" xr3:uid="{00000000-0010-0000-0000-000075000000}" name="LIST3_7"/>
    <tableColumn id="118" xr3:uid="{00000000-0010-0000-0000-000076000000}" name="LIST4_7"/>
    <tableColumn id="119" xr3:uid="{00000000-0010-0000-0000-000077000000}" name="ITEM7(g)_7"/>
    <tableColumn id="120" xr3:uid="{00000000-0010-0000-0000-000078000000}" name="ITEM8(ea)_7"/>
    <tableColumn id="121" xr3:uid="{00000000-0010-0000-0000-000079000000}" name="ITEM9(ea)_7"/>
    <tableColumn id="122" xr3:uid="{00000000-0010-0000-0000-00007A000000}" name="ITEM10(ea)_7"/>
    <tableColumn id="123" xr3:uid="{00000000-0010-0000-0000-00007B000000}" name="ITEM11(s)_7"/>
    <tableColumn id="124" xr3:uid="{00000000-0010-0000-0000-00007C000000}" name="SUM1(kg)_7"/>
    <tableColumn id="125" xr3:uid="{00000000-0010-0000-0000-00007D000000}" name="SUM2(ea)_7"/>
    <tableColumn id="126" xr3:uid="{00000000-0010-0000-0000-00007E000000}" name="SUM3(kg)_7"/>
    <tableColumn id="127" xr3:uid="{00000000-0010-0000-0000-00007F000000}" name="SUM4(hr)_7"/>
    <tableColumn id="167" xr3:uid="{00000000-0010-0000-0000-0000A7000000}" name="ITEM16_7"/>
    <tableColumn id="128" xr3:uid="{00000000-0010-0000-0000-000080000000}" name="REF_8"/>
    <tableColumn id="129" xr3:uid="{00000000-0010-0000-0000-000081000000}" name="NUM_8"/>
    <tableColumn id="130" xr3:uid="{00000000-0010-0000-0000-000082000000}" name="LIST1_8"/>
    <tableColumn id="131" xr3:uid="{00000000-0010-0000-0000-000083000000}" name="LIST2_8"/>
    <tableColumn id="132" xr3:uid="{00000000-0010-0000-0000-000084000000}" name="ITEM3(kg)_8"/>
    <tableColumn id="133" xr3:uid="{00000000-0010-0000-0000-000085000000}" name="ITEM4(kg)_8"/>
    <tableColumn id="134" xr3:uid="{00000000-0010-0000-0000-000086000000}" name="LIST3_8"/>
    <tableColumn id="135" xr3:uid="{00000000-0010-0000-0000-000087000000}" name="LIST4_8"/>
    <tableColumn id="136" xr3:uid="{00000000-0010-0000-0000-000088000000}" name="ITEM7(g)_8"/>
    <tableColumn id="137" xr3:uid="{00000000-0010-0000-0000-000089000000}" name="ITEM8(ea)_8"/>
    <tableColumn id="138" xr3:uid="{00000000-0010-0000-0000-00008A000000}" name="ITEM9(ea)_8"/>
    <tableColumn id="139" xr3:uid="{00000000-0010-0000-0000-00008B000000}" name="ITEM10(ea)_8"/>
    <tableColumn id="140" xr3:uid="{00000000-0010-0000-0000-00008C000000}" name="ITEM11(s)_8"/>
    <tableColumn id="141" xr3:uid="{00000000-0010-0000-0000-00008D000000}" name="SUM1(kg)_8"/>
    <tableColumn id="142" xr3:uid="{00000000-0010-0000-0000-00008E000000}" name="SUM2(ea)_8"/>
    <tableColumn id="168" xr3:uid="{00000000-0010-0000-0000-0000A8000000}" name="SUM3(kg)_8"/>
    <tableColumn id="143" xr3:uid="{00000000-0010-0000-0000-00008F000000}" name="SUM4(hr)_8"/>
    <tableColumn id="144" xr3:uid="{00000000-0010-0000-0000-000090000000}" name="ITEM16_8"/>
    <tableColumn id="145" xr3:uid="{00000000-0010-0000-0000-000091000000}" name="REF_9"/>
    <tableColumn id="146" xr3:uid="{00000000-0010-0000-0000-000092000000}" name="NUM_9"/>
    <tableColumn id="147" xr3:uid="{00000000-0010-0000-0000-000093000000}" name="LIST1_9"/>
    <tableColumn id="148" xr3:uid="{00000000-0010-0000-0000-000094000000}" name="LIST2_9"/>
    <tableColumn id="149" xr3:uid="{00000000-0010-0000-0000-000095000000}" name="ITEM3(kg)_9"/>
    <tableColumn id="150" xr3:uid="{00000000-0010-0000-0000-000096000000}" name="ITEM4(kg)_9"/>
    <tableColumn id="151" xr3:uid="{00000000-0010-0000-0000-000097000000}" name="LIST3_9"/>
    <tableColumn id="152" xr3:uid="{00000000-0010-0000-0000-000098000000}" name="LIST4_9"/>
    <tableColumn id="153" xr3:uid="{00000000-0010-0000-0000-000099000000}" name="ITEM7(g)_9"/>
    <tableColumn id="154" xr3:uid="{00000000-0010-0000-0000-00009A000000}" name="ITEM8(ea)_9"/>
    <tableColumn id="155" xr3:uid="{00000000-0010-0000-0000-00009B000000}" name="ITEM9(ea)_9"/>
    <tableColumn id="156" xr3:uid="{00000000-0010-0000-0000-00009C000000}" name="ITEM10(ea)_9"/>
    <tableColumn id="157" xr3:uid="{00000000-0010-0000-0000-00009D000000}" name="ITEM11(s)_9"/>
    <tableColumn id="171" xr3:uid="{00000000-0010-0000-0000-0000AB000000}" name="SUM1(kg)_9"/>
    <tableColumn id="172" xr3:uid="{00000000-0010-0000-0000-0000AC000000}" name="SUM2(ea)_9"/>
    <tableColumn id="173" xr3:uid="{00000000-0010-0000-0000-0000AD000000}" name="SUM3(kg)_9"/>
    <tableColumn id="174" xr3:uid="{00000000-0010-0000-0000-0000AE000000}" name="SUM4(hr)_9"/>
    <tableColumn id="175" xr3:uid="{00000000-0010-0000-0000-0000AF000000}" name="ITEM16_9"/>
    <tableColumn id="176" xr3:uid="{00000000-0010-0000-0000-0000B0000000}" name="REF_10"/>
    <tableColumn id="177" xr3:uid="{00000000-0010-0000-0000-0000B1000000}" name="NUM_10"/>
    <tableColumn id="178" xr3:uid="{00000000-0010-0000-0000-0000B2000000}" name="LIST1_10"/>
    <tableColumn id="179" xr3:uid="{00000000-0010-0000-0000-0000B3000000}" name="LIST2_10"/>
    <tableColumn id="180" xr3:uid="{00000000-0010-0000-0000-0000B4000000}" name="ITEM3(kg)_10"/>
    <tableColumn id="181" xr3:uid="{00000000-0010-0000-0000-0000B5000000}" name="ITEM4(kg)_10"/>
    <tableColumn id="182" xr3:uid="{00000000-0010-0000-0000-0000B6000000}" name="LIST3_10"/>
    <tableColumn id="183" xr3:uid="{00000000-0010-0000-0000-0000B7000000}" name="LIST4_10"/>
    <tableColumn id="184" xr3:uid="{00000000-0010-0000-0000-0000B8000000}" name="ITEM7(g)_10"/>
    <tableColumn id="185" xr3:uid="{00000000-0010-0000-0000-0000B9000000}" name="ITEM8(ea)_10"/>
    <tableColumn id="186" xr3:uid="{00000000-0010-0000-0000-0000BA000000}" name="ITEM9(ea)_10"/>
    <tableColumn id="187" xr3:uid="{00000000-0010-0000-0000-0000BB000000}" name="ITEM10(ea)_10"/>
    <tableColumn id="188" xr3:uid="{00000000-0010-0000-0000-0000BC000000}" name="ITEM11(s)_10"/>
    <tableColumn id="1" xr3:uid="{00000000-0010-0000-0000-000001000000}" name="SUM1(kg)_10"/>
    <tableColumn id="2" xr3:uid="{00000000-0010-0000-0000-000002000000}" name="SUM2(ea)_10"/>
    <tableColumn id="189" xr3:uid="{00000000-0010-0000-0000-0000BD000000}" name="SUM3(kg)_10"/>
    <tableColumn id="190" xr3:uid="{00000000-0010-0000-0000-0000BE000000}" name="SUM4(hr)_10"/>
    <tableColumn id="191" xr3:uid="{DFA87C7F-3A8C-744A-AC32-A423EAD8456B}" name="ITEM16_10"/>
    <tableColumn id="194" xr3:uid="{FAAD8DA9-3F17-8446-89CB-4DB1C8F18E9F}" name="REF_11"/>
    <tableColumn id="195" xr3:uid="{4933DC3E-138E-3846-BDF6-AB2A91A1F651}" name="NUM_11"/>
    <tableColumn id="196" xr3:uid="{7CBF5C51-B372-9547-B9AC-81A4B77A86E1}" name="LIST1_11"/>
    <tableColumn id="197" xr3:uid="{0585E00E-1AAF-3043-BE86-2812F3611C13}" name="LIST2_11"/>
    <tableColumn id="198" xr3:uid="{929289F1-71C7-DA47-ACB4-250CB227EBF9}" name="ITEM3(kg)_11"/>
    <tableColumn id="199" xr3:uid="{800E70BE-B0C1-6346-B4D0-64B4A91CD669}" name="ITEM4(kg)_11"/>
    <tableColumn id="200" xr3:uid="{4870E14E-C1B6-BF4D-B572-C84510F7D8FF}" name="LIST3_11"/>
    <tableColumn id="201" xr3:uid="{6D2FB2F0-9A4C-DC42-910F-D0F71E03BAFD}" name="LIST4_11"/>
    <tableColumn id="202" xr3:uid="{29F68129-AD65-8449-BFFF-CC07F8795F51}" name="ITEM7(g)_11"/>
    <tableColumn id="203" xr3:uid="{1CC0A3EF-2A4F-8A4C-BB72-80E478121257}" name="ITEM8(ea)_11"/>
    <tableColumn id="204" xr3:uid="{88AE4CFF-5F3F-DD48-91CD-5E039DE8F22E}" name="ITEM9(ea)_11"/>
    <tableColumn id="205" xr3:uid="{F719B0F4-1B78-DE4F-8847-192BB093B23F}" name="ITEM10(ea)_11"/>
    <tableColumn id="206" xr3:uid="{2016D9F3-8F69-314D-A7BF-9A0048B715E2}" name="ITEM11(s)_11"/>
    <tableColumn id="207" xr3:uid="{B9A2F61C-D045-0743-844E-39AF127F3C1D}" name="SUM1(kg)_11"/>
    <tableColumn id="208" xr3:uid="{18C17368-9C88-3044-9A96-F5DCB2DF40E7}" name="SUM2(ea)_11"/>
    <tableColumn id="209" xr3:uid="{EB4B0861-03E6-0246-901E-197BD5D465CA}" name="SUM3(kg)_11"/>
    <tableColumn id="210" xr3:uid="{A8F9F1A7-67B2-034A-852B-D240BD7BD927}" name="SUM4(hr)_11"/>
    <tableColumn id="211" xr3:uid="{7D3F6767-7383-4E46-BAC2-4D8AC860EB03}" name="ITEM16_11"/>
    <tableColumn id="212" xr3:uid="{095A171D-53E2-DD47-B094-8DF9C0F408ED}" name="REF_12"/>
    <tableColumn id="213" xr3:uid="{380A93FE-F1B0-A74F-BEAD-FCDC61BAA53E}" name="NUM_12"/>
    <tableColumn id="214" xr3:uid="{C0F31497-5FCF-AD45-93DF-1722EFC9C768}" name="LIST1_12"/>
    <tableColumn id="215" xr3:uid="{BC2E232E-11F9-2144-A86D-1B671BA76B0A}" name="LIST2_12"/>
    <tableColumn id="216" xr3:uid="{A9B63A51-F4DB-2847-BA21-C1E981FD9C65}" name="ITEM3(kg)_12"/>
    <tableColumn id="217" xr3:uid="{CD56C920-FE72-8540-A8B6-832066CE57D0}" name="ITEM4(kg)_12"/>
    <tableColumn id="218" xr3:uid="{F6BB2EEC-5948-5947-9938-8C9681F7C843}" name="LIST3_12"/>
    <tableColumn id="219" xr3:uid="{60D3F375-4979-014C-BE01-C0B29499BC40}" name="LIST4_12"/>
    <tableColumn id="220" xr3:uid="{B0D2FA22-1DFB-B447-9AD3-2019C883858E}" name="ITEM7(g)_12"/>
    <tableColumn id="221" xr3:uid="{AB33E18C-FD57-CE40-A5E7-B35149838E87}" name="ITEM8(ea)_12"/>
    <tableColumn id="222" xr3:uid="{7A94990A-F167-D148-92C7-F0C822769F62}" name="ITEM9(ea)_12"/>
    <tableColumn id="223" xr3:uid="{72F19E0D-D578-0A4F-964E-15C6D65EFA6E}" name="ITEM10(ea)_12"/>
    <tableColumn id="224" xr3:uid="{34DEDE84-DA44-2C49-BCE0-39014EB60712}" name="ITEM11(s)_12"/>
    <tableColumn id="225" xr3:uid="{B918B0B6-E0AB-F642-9463-EF54A54C7907}" name="SUM1(kg)_12"/>
    <tableColumn id="226" xr3:uid="{624812D8-B6AF-2142-BD88-20424FF7A1D1}" name="SUM2(ea)_12"/>
    <tableColumn id="227" xr3:uid="{6C5389A6-AA8A-044D-804A-6C7384115763}" name="SUM3(kg)_12"/>
    <tableColumn id="228" xr3:uid="{94EDC927-5884-4949-AB86-9C488CED4936}" name="SUM4(hr)_12"/>
    <tableColumn id="229" xr3:uid="{5F9E668D-7D2E-A544-B428-6A106BC68C14}" name="ITEM16_12"/>
    <tableColumn id="230" xr3:uid="{82712C93-F861-5940-8003-12777C6ECDF5}" name="REF_13"/>
    <tableColumn id="231" xr3:uid="{32742DE2-197A-E142-9C65-8B5A22EA8B16}" name="NUM_13"/>
    <tableColumn id="232" xr3:uid="{8797A593-AA9F-E142-A527-0ABE39E6194A}" name="LIST1_13"/>
    <tableColumn id="233" xr3:uid="{D1B51FC4-C577-2D4C-92FA-69EECADCB0EF}" name="LIST2_13"/>
    <tableColumn id="234" xr3:uid="{6A6B4F96-976F-9645-B0D1-3599DE68F91C}" name="ITEM3(kg)_13"/>
    <tableColumn id="235" xr3:uid="{E4030C6F-4B3C-9A47-833F-6AA9DF9C3F8D}" name="ITEM4(kg)_13"/>
    <tableColumn id="236" xr3:uid="{609D3959-4B5F-2244-A640-B5028933DB61}" name="LIST3_13"/>
    <tableColumn id="237" xr3:uid="{62DEB85F-30DD-2E44-BBF8-1CC66A6A082D}" name="LIST4_13"/>
    <tableColumn id="238" xr3:uid="{80569C43-F92B-3646-8CD9-90378E1F8640}" name="ITEM7(g)_13"/>
    <tableColumn id="239" xr3:uid="{3F37A21C-4219-4940-9410-506E131518C3}" name="ITEM8(ea)_13"/>
    <tableColumn id="240" xr3:uid="{EDB6B679-4733-E144-ABAD-010364DEF855}" name="ITEM9(ea)_13"/>
    <tableColumn id="241" xr3:uid="{42CA688A-4533-D948-95BF-1756E653C1CA}" name="ITEM10(ea)_13"/>
    <tableColumn id="242" xr3:uid="{172D0C05-47C2-5B4A-8F7C-7108A62FBF1F}" name="ITEM11(s)_13"/>
    <tableColumn id="243" xr3:uid="{71F49A41-934B-5744-BDF1-F69366785FA8}" name="SUM1(kg)_13"/>
    <tableColumn id="244" xr3:uid="{8602F218-A60C-954C-82A2-E50224FDD652}" name="SUM2(ea)_13"/>
    <tableColumn id="245" xr3:uid="{0ABCFA09-0478-B143-B4FA-0B232BBE422A}" name="SUM3(kg)_13"/>
    <tableColumn id="246" xr3:uid="{EA0A80F6-A18C-B047-B65A-2B3702D5DC29}" name="SUM4(hr)_13"/>
    <tableColumn id="247" xr3:uid="{43778114-79A5-7B46-ACEE-B43A308EDF3B}" name="ITEM16_13"/>
    <tableColumn id="248" xr3:uid="{898D96B2-05E4-454F-9F0F-7BEFE0F9C528}" name="REF_14"/>
    <tableColumn id="249" xr3:uid="{38C8D790-FAD9-9E43-A5D0-432454AF18B0}" name="NUM_14"/>
    <tableColumn id="250" xr3:uid="{14D5EAB2-6E1C-2F40-AFDF-A6D5DAE11F8A}" name="LIST1_14"/>
    <tableColumn id="251" xr3:uid="{667F020E-DB39-0E46-AFFC-90568F0CED68}" name="LIST2_14"/>
    <tableColumn id="252" xr3:uid="{13442C2B-35EC-3540-AF08-224B30F314CA}" name="ITEM3(kg)_14"/>
    <tableColumn id="253" xr3:uid="{EA62C05E-9D9F-4C42-B25E-33F2C592711A}" name="ITEM4(kg)_14"/>
    <tableColumn id="254" xr3:uid="{8AC6405B-765B-B24B-ABAC-2B72F9B9B8DF}" name="LIST3_14"/>
    <tableColumn id="255" xr3:uid="{BB6ADCB2-7843-6E47-9752-F2C9566951A9}" name="LIST4_14"/>
    <tableColumn id="256" xr3:uid="{1F6BFF81-BAE3-534E-A8A1-4B479B62BE05}" name="ITEM7(g)_14"/>
    <tableColumn id="257" xr3:uid="{50E46577-68A7-5C44-8A56-E93D5BAB490E}" name="ITEM8(ea)_14"/>
    <tableColumn id="258" xr3:uid="{BDEA3F96-BBE8-1B46-B018-BD0E4C4AF7DE}" name="ITEM9(ea)_14"/>
    <tableColumn id="259" xr3:uid="{854C1FB7-F7CC-DA43-A9E9-422DAC5A95C0}" name="ITEM10(ea)_14"/>
    <tableColumn id="260" xr3:uid="{36B4987A-88BF-844C-9233-6D18D4AD9175}" name="ITEM11(s)_14"/>
    <tableColumn id="261" xr3:uid="{14E858CA-F742-9F48-83CA-8E3932DE8AC6}" name="SUM1(kg)_14"/>
    <tableColumn id="262" xr3:uid="{4B0CDF61-3052-2746-A989-4DBFDFD9F420}" name="SUM2(ea)_14"/>
    <tableColumn id="263" xr3:uid="{DB80E4BA-4A87-F04E-9167-1E119D97DD68}" name="SUM3(kg)_14"/>
    <tableColumn id="264" xr3:uid="{67C77113-E0FE-B344-B1C5-4D47CDE3379E}" name="SUM4(hr)_14"/>
    <tableColumn id="265" xr3:uid="{962CB063-6D55-C642-B883-C96696E69FA2}" name="ITEM16_14"/>
    <tableColumn id="266" xr3:uid="{30B77B64-22AA-0947-9199-413D1B777C76}" name="REF_15"/>
    <tableColumn id="267" xr3:uid="{3FA32241-DC6E-F242-AF7D-D6E7AB6F52C3}" name="NUM_15"/>
    <tableColumn id="268" xr3:uid="{64F7FA86-A66F-3A4E-A9F6-ACA4B1D391E9}" name="LIST1_15"/>
    <tableColumn id="269" xr3:uid="{8F731631-82B8-BD45-AF37-516582F2DEB5}" name="LIST2_15"/>
    <tableColumn id="270" xr3:uid="{89D9541A-4D43-4942-8134-7606FD7F69DE}" name="ITEM3(kg)_15"/>
    <tableColumn id="271" xr3:uid="{22EEE56F-2A7B-9E4A-A34B-6586B2A2A0D8}" name="ITEM4(kg)_15"/>
    <tableColumn id="272" xr3:uid="{99E56384-45F5-A84F-87C3-B4B48B017BE9}" name="LIST3_15"/>
    <tableColumn id="273" xr3:uid="{F3FF5274-D85C-B048-8473-46376B9EE9B6}" name="LIST4_15"/>
    <tableColumn id="274" xr3:uid="{1C110E5E-41D7-9A4B-B157-D96F129C2292}" name="ITEM7(g)_15"/>
    <tableColumn id="275" xr3:uid="{9329E31B-46C3-FF46-BF51-2A0008801777}" name="ITEM8(ea)_15"/>
    <tableColumn id="276" xr3:uid="{58BA57BE-E2A0-D546-8F91-BA0DE9788C95}" name="ITEM9(ea)_15"/>
    <tableColumn id="277" xr3:uid="{620B4603-30EB-E941-AA7D-83DB7BD53601}" name="ITEM10(ea)_15"/>
    <tableColumn id="278" xr3:uid="{F340943C-31E3-F44C-98EE-C5387B333FEF}" name="ITEM11(s)_15"/>
    <tableColumn id="279" xr3:uid="{926E2649-E8D5-C24A-80CA-207755A99485}" name="SUM1(kg)_15"/>
    <tableColumn id="280" xr3:uid="{3080F5AA-DC9D-EA4C-8C7C-B47AA5ED46C9}" name="SUM2(ea)_15"/>
    <tableColumn id="281" xr3:uid="{8B7B4109-82E4-A747-886E-D1C04EEE9B0C}" name="SUM3(kg)_15"/>
    <tableColumn id="282" xr3:uid="{9664C1EE-AB9D-0344-A34B-A3B22B76FEBC}" name="SUM4(hr)_15"/>
    <tableColumn id="283" xr3:uid="{5B649534-F922-394E-BEDF-C70D12D33922}" name="ITEM16_15"/>
    <tableColumn id="284" xr3:uid="{DB662B6D-6FD1-F547-B430-80DC019C4509}" name="REF_16"/>
    <tableColumn id="285" xr3:uid="{CB82F5F3-4312-E240-991B-CD8AA799EEB6}" name="NUM_16"/>
    <tableColumn id="286" xr3:uid="{287A3F4F-DDDD-9541-BF7B-04870C43A32A}" name="LIST1_16"/>
    <tableColumn id="287" xr3:uid="{DC703C59-3D0D-CC4A-809D-B24B913B3C9F}" name="LIST2_16"/>
    <tableColumn id="288" xr3:uid="{D69C6578-6CA5-A049-ADDE-9933C18B92E5}" name="ITEM3(kg)_16"/>
    <tableColumn id="289" xr3:uid="{05D25F79-4216-9E48-B60B-9D96ECFEE924}" name="ITEM4(kg)_16"/>
    <tableColumn id="290" xr3:uid="{66A61470-E6A6-5844-81CF-1B97AF04A6AC}" name="LIST3_16"/>
    <tableColumn id="291" xr3:uid="{610E7E5B-DC13-9140-A663-D003261ED07C}" name="LIST4_16"/>
    <tableColumn id="292" xr3:uid="{1F8CBA64-A74E-9E42-8B1D-C7187CE575CD}" name="ITEM7(g)_16"/>
    <tableColumn id="293" xr3:uid="{5830EA43-C798-F24F-9AAD-BE9056BFBAE8}" name="ITEM8(ea)_16"/>
    <tableColumn id="294" xr3:uid="{22AD08A1-C7B7-3744-A6D4-8F43A4392ECA}" name="ITEM9(ea)_16"/>
    <tableColumn id="295" xr3:uid="{22F5191D-C122-074A-AC8A-A7CD314CF5EC}" name="ITEM10(ea)_16"/>
    <tableColumn id="296" xr3:uid="{0875B5F2-D975-204B-96A0-92F227A118B4}" name="ITEM11(s)_16"/>
    <tableColumn id="297" xr3:uid="{2A9BD945-E4D1-9443-B42B-A2E7A3BD6905}" name="SUM1(kg)_16"/>
    <tableColumn id="298" xr3:uid="{34309A23-DD35-6C46-AC54-BD09EA222EA3}" name="SUM2(ea)_16"/>
    <tableColumn id="299" xr3:uid="{F852A8EA-7BBF-BC46-8567-4CAF4F346EC9}" name="SUM3(kg)_16"/>
    <tableColumn id="300" xr3:uid="{3EC46B4C-4117-C148-BEA9-454F305F3346}" name="SUM4(hr)_16"/>
    <tableColumn id="301" xr3:uid="{4F5DA6CF-07F7-6F45-9634-4B4CCACE61AD}" name="ITEM16_16"/>
    <tableColumn id="302" xr3:uid="{E62FFD9E-2AA3-C54F-A275-214E0E2D17F5}" name="REF_17"/>
    <tableColumn id="303" xr3:uid="{1EE1B973-BFBE-0E41-8DEC-E29BFE40B57C}" name="NUM_17"/>
    <tableColumn id="304" xr3:uid="{6E0A731C-B201-3D49-B542-E1C38965428B}" name="LIST1_17"/>
    <tableColumn id="305" xr3:uid="{0F63CC2D-3F4B-3640-AB57-1FF7117BCE9F}" name="LIST2_17"/>
    <tableColumn id="306" xr3:uid="{A51C5EE7-268B-D042-9C42-B9D9000D3929}" name="ITEM3(kg)_17"/>
    <tableColumn id="307" xr3:uid="{39027123-70F7-924B-9447-37C6B4120C5F}" name="ITEM4(kg)_17"/>
    <tableColumn id="308" xr3:uid="{09609BB5-F222-CB49-AFBE-2391AE008A13}" name="LIST3_17"/>
    <tableColumn id="309" xr3:uid="{6A865891-FBF9-E74E-BAF8-C0149FB0BD02}" name="LIST4_17"/>
    <tableColumn id="310" xr3:uid="{E4A77F16-E146-774F-856C-C4136E84C1BE}" name="ITEM7(g)_17"/>
    <tableColumn id="311" xr3:uid="{9B2180B0-FC90-F047-9646-0D100B3DD26E}" name="ITEM8(ea)_17"/>
    <tableColumn id="312" xr3:uid="{9BA5C085-90F1-F54A-AC4E-06D48B4CDBDF}" name="ITEM9(ea)_17"/>
    <tableColumn id="313" xr3:uid="{6E88F331-CE7B-9F42-AE0C-65F1A5E77C08}" name="ITEM10(ea)_17"/>
    <tableColumn id="314" xr3:uid="{C32F3107-5C04-4444-8D35-EDCAEBC2B282}" name="ITEM11(s)_17"/>
    <tableColumn id="315" xr3:uid="{875D929F-8308-3442-82F8-68A51E370B0B}" name="SUM1(kg)_17"/>
    <tableColumn id="316" xr3:uid="{C1CE6EAE-0398-7B45-ACAC-DBE6282FCD19}" name="SUM2(ea)_17"/>
    <tableColumn id="317" xr3:uid="{E3028A59-10CB-9944-95BF-43244CFDA2E6}" name="SUM3(kg)_17"/>
    <tableColumn id="318" xr3:uid="{4D366E9B-100F-AB41-8773-BBF9BC598A6B}" name="SUM4(hr)_17"/>
    <tableColumn id="319" xr3:uid="{2AD150C5-190F-BB4E-891F-85035D50A76D}" name="ITEM16_17"/>
    <tableColumn id="320" xr3:uid="{EA1548B7-6BE0-5D4C-A8FE-28EC2AA11CF3}" name="REF_18"/>
    <tableColumn id="321" xr3:uid="{6C5A48D4-0C0B-904B-87A8-EA09BA323BE5}" name="NUM_18"/>
    <tableColumn id="322" xr3:uid="{2DE02100-59FA-BB42-B498-4B6250D29BEB}" name="LIST1_18"/>
    <tableColumn id="323" xr3:uid="{7FB326F8-6E6B-0A40-8912-BCEFF45F4759}" name="LIST2_18"/>
    <tableColumn id="324" xr3:uid="{CC6FB733-123B-9244-87FC-E39868AE720C}" name="ITEM3(kg)_18"/>
    <tableColumn id="325" xr3:uid="{35DFE440-FC1A-C042-9ED7-E63760E2CCBE}" name="ITEM4(kg)_18"/>
    <tableColumn id="326" xr3:uid="{74EAC85C-17E4-B847-BE48-E1B1538F709C}" name="LIST3_18"/>
    <tableColumn id="327" xr3:uid="{1014DD6B-0904-9C47-9461-C379EFABFDC9}" name="LIST4_18"/>
    <tableColumn id="328" xr3:uid="{5605831C-0EB2-3641-9B87-2170F7106B8C}" name="ITEM7(g)_18"/>
    <tableColumn id="329" xr3:uid="{00DE1585-1880-584F-986B-093C2269E0AD}" name="ITEM8(ea)_18"/>
    <tableColumn id="330" xr3:uid="{C6732B32-993D-EA47-B33C-872A431A75F9}" name="ITEM9(ea)_18"/>
    <tableColumn id="331" xr3:uid="{B7A85534-3D83-5940-8745-94666B5110E8}" name="ITEM10(ea)_18"/>
    <tableColumn id="332" xr3:uid="{0A3B2B63-CD2F-CC4A-B18E-BB635DF2DC1D}" name="ITEM11(s)_18"/>
    <tableColumn id="333" xr3:uid="{EB77E10A-F7CA-CD4F-B3A9-22E19F84B20D}" name="SUM1(kg)_18"/>
    <tableColumn id="334" xr3:uid="{297BFC6C-213C-A54A-B422-91811CB73A69}" name="SUM2(ea)_18"/>
    <tableColumn id="335" xr3:uid="{A76A70E4-CB02-9F4F-83CF-5C9BCB642BA5}" name="SUM3(kg)_18"/>
    <tableColumn id="336" xr3:uid="{D723A801-E4D3-8A49-9633-5637A76B21EE}" name="SUM4(hr)_18"/>
    <tableColumn id="337" xr3:uid="{A125208D-E143-7B45-878B-7ACEF46141C7}" name="ITEM16_18"/>
    <tableColumn id="338" xr3:uid="{91CB295F-F1F7-9246-88D0-8EB51DE6B1E2}" name="REF_19"/>
    <tableColumn id="339" xr3:uid="{DE98FE6D-FF83-384D-874A-BFA49572B91A}" name="NUM_19"/>
    <tableColumn id="340" xr3:uid="{F6DA3C07-4879-D446-B8B6-40EBEA6FC968}" name="LIST1_19"/>
    <tableColumn id="341" xr3:uid="{253859D0-7074-9045-9200-7EC8E0BF200F}" name="LIST2_19"/>
    <tableColumn id="342" xr3:uid="{1FCFE6E0-E7DE-8A42-A337-18634D425608}" name="ITEM3(kg)_19"/>
    <tableColumn id="343" xr3:uid="{55BCCECD-3044-E146-A217-93B3020101F8}" name="ITEM4(kg)_19"/>
    <tableColumn id="344" xr3:uid="{86C33861-BC80-F841-9DF9-80D2B100B62E}" name="LIST3_19"/>
    <tableColumn id="345" xr3:uid="{9D93A37E-7E6A-6B47-B691-60D7581F8360}" name="LIST4_19"/>
    <tableColumn id="346" xr3:uid="{9E677787-C2DA-7C4F-BD08-0BB5B11B03EA}" name="ITEM7(g)_19"/>
    <tableColumn id="347" xr3:uid="{400256DE-38BA-EB4E-8B7B-B7394456CE5D}" name="ITEM8(ea)_19"/>
    <tableColumn id="348" xr3:uid="{2D8FFEAF-0521-0646-A2FA-E262E0184DB6}" name="ITEM9(ea)_19"/>
    <tableColumn id="349" xr3:uid="{1F8F9AA1-8161-B440-91DC-1F12926E45CB}" name="ITEM10(ea)_19"/>
    <tableColumn id="350" xr3:uid="{CCDF8EB6-2C0B-C84E-B82C-A5DD2E1FA28E}" name="ITEM11(s)_19"/>
    <tableColumn id="351" xr3:uid="{B282B6DC-2433-8A43-A9C7-A3B085AB902A}" name="SUM1(kg)_19"/>
    <tableColumn id="352" xr3:uid="{DF8C329D-4CE3-344B-8588-25385502352D}" name="SUM2(ea)_19"/>
    <tableColumn id="353" xr3:uid="{3EDB54A4-A743-6744-BF61-E3DA83EC6B30}" name="SUM3(kg)_19"/>
    <tableColumn id="354" xr3:uid="{4415509A-1CC5-3945-869D-3EE552E89D0F}" name="SUM4(hr)_19"/>
    <tableColumn id="355" xr3:uid="{FFF8004A-A7C3-0F47-B276-AB1D1C6A1281}" name="ITEM16_19"/>
    <tableColumn id="356" xr3:uid="{00A152C6-5DB8-0443-86AC-140E0FB7D3CC}" name="REF_20"/>
    <tableColumn id="357" xr3:uid="{DDA7D820-B23B-5E41-B6C6-B5D6C88182B4}" name="NUM_20"/>
    <tableColumn id="358" xr3:uid="{FAE45D09-5252-7944-A67E-C12BE65C6ECB}" name="LIST1_20"/>
    <tableColumn id="359" xr3:uid="{F3080809-5F4B-264D-87C4-2ADA122170E1}" name="LIST2_20"/>
    <tableColumn id="360" xr3:uid="{2A3DF8B4-9C0A-B449-ADFC-7C4776A15EE8}" name="ITEM3(kg)_20"/>
    <tableColumn id="361" xr3:uid="{70680330-61B7-9248-AA1D-7AB098597455}" name="ITEM4(kg)_20"/>
    <tableColumn id="362" xr3:uid="{04E51B9A-420C-7A4D-9C64-90F2EA0B47E5}" name="LIST3_20"/>
    <tableColumn id="363" xr3:uid="{E636CA5A-41A0-DC49-9213-39ACF508D684}" name="LIST4_20"/>
    <tableColumn id="364" xr3:uid="{D06B791E-0024-3B42-9B52-51C03BBDBD9F}" name="ITEM7(g)_20"/>
    <tableColumn id="365" xr3:uid="{CF56BE32-2A65-C048-BD44-8205CF7B9F30}" name="ITEM8(ea)_20"/>
    <tableColumn id="366" xr3:uid="{54219DE2-5DA4-C443-A0E7-95C24860E3EC}" name="ITEM9(ea)_20"/>
    <tableColumn id="367" xr3:uid="{A0F9C385-5579-794B-A29A-6DFD6030A3E3}" name="ITEM10(ea)_20"/>
    <tableColumn id="368" xr3:uid="{C133FD90-D6E9-7945-99EF-0B90A96ED803}" name="ITEM11(s)_20"/>
    <tableColumn id="369" xr3:uid="{FC468ADE-0003-AA4C-A080-63BC7660B327}" name="SUM1(kg)_20"/>
    <tableColumn id="370" xr3:uid="{7DCF664C-547B-C643-AD81-AE933049EB61}" name="SUM2(ea)_20"/>
    <tableColumn id="371" xr3:uid="{9D315569-45C6-0A4E-BA70-AB2B39781565}" name="SUM3(kg)_20"/>
    <tableColumn id="372" xr3:uid="{B2D08485-A1CE-5F43-B081-7DB3529D5046}" name="SUM4(hr)_20"/>
    <tableColumn id="373" xr3:uid="{A0217E04-F1FD-9340-874B-22DEAEECF80E}" name="ITEM16_2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IVOTDATA" displayName="PIVOTDATA" ref="A1:AC2" insertRow="1" totalsRowShown="0">
  <autoFilter ref="A1:AC2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</autoFilter>
  <tableColumns count="29">
    <tableColumn id="1" xr3:uid="{00000000-0010-0000-0100-000001000000}" name="SERIAL"/>
    <tableColumn id="2" xr3:uid="{00000000-0010-0000-0100-000002000000}" name="DATE" dataDxfId="0"/>
    <tableColumn id="3" xr3:uid="{00000000-0010-0000-0100-000003000000}" name="QUARTER"/>
    <tableColumn id="4" xr3:uid="{00000000-0010-0000-0100-000004000000}" name="YEAR"/>
    <tableColumn id="5" xr3:uid="{00000000-0010-0000-0100-000005000000}" name="MONTH"/>
    <tableColumn id="6" xr3:uid="{00000000-0010-0000-0100-000006000000}" name="DAY"/>
    <tableColumn id="7" xr3:uid="{00000000-0010-0000-0100-000007000000}" name="STATIC_LIST1"/>
    <tableColumn id="8" xr3:uid="{00000000-0010-0000-0100-000008000000}" name="STATIC_LIST2"/>
    <tableColumn id="9" xr3:uid="{00000000-0010-0000-0100-000009000000}" name="STATIC_ITEM1"/>
    <tableColumn id="10" xr3:uid="{00000000-0010-0000-0100-00000A000000}" name="STATIC_ITEM2"/>
    <tableColumn id="11" xr3:uid="{00000000-0010-0000-0100-00000B000000}" name="MEMO"/>
    <tableColumn id="12" xr3:uid="{00000000-0010-0000-0100-00000C000000}" name="REF"/>
    <tableColumn id="13" xr3:uid="{00000000-0010-0000-0100-00000D000000}" name="NUM"/>
    <tableColumn id="14" xr3:uid="{00000000-0010-0000-0100-00000E000000}" name="LIST1"/>
    <tableColumn id="15" xr3:uid="{00000000-0010-0000-0100-00000F000000}" name="LIST2"/>
    <tableColumn id="16" xr3:uid="{00000000-0010-0000-0100-000010000000}" name="ITEM3(kg)"/>
    <tableColumn id="17" xr3:uid="{00000000-0010-0000-0100-000011000000}" name="ITEM4(kg)"/>
    <tableColumn id="18" xr3:uid="{00000000-0010-0000-0100-000012000000}" name="LIST3"/>
    <tableColumn id="19" xr3:uid="{00000000-0010-0000-0100-000013000000}" name="LIST4"/>
    <tableColumn id="20" xr3:uid="{00000000-0010-0000-0100-000014000000}" name="ITEM7(g)"/>
    <tableColumn id="21" xr3:uid="{00000000-0010-0000-0100-000015000000}" name="ITEM8(ea)"/>
    <tableColumn id="22" xr3:uid="{00000000-0010-0000-0100-000016000000}" name="ITEM9(ea)"/>
    <tableColumn id="23" xr3:uid="{00000000-0010-0000-0100-000017000000}" name="ITEM10(ea)"/>
    <tableColumn id="24" xr3:uid="{00000000-0010-0000-0100-000018000000}" name="ITEM11(s)"/>
    <tableColumn id="25" xr3:uid="{A3783258-23ED-C249-B99A-C7394569D446}" name="SUM1(kg)"/>
    <tableColumn id="26" xr3:uid="{D5AF463D-A7EB-CE46-8A30-7D169248F7D0}" name="SUM2(ea)"/>
    <tableColumn id="27" xr3:uid="{D51F625D-3667-354A-828B-F7E5777B9618}" name="(kg)"/>
    <tableColumn id="28" xr3:uid="{8CE39927-FBCA-AD4E-9288-9EF9CC23850B}" name="SUM4(hr)"/>
    <tableColumn id="29" xr3:uid="{57D64162-D864-3443-8A47-4D51F44974E2}" name="ITEM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34"/>
  <sheetViews>
    <sheetView tabSelected="1" zoomScaleNormal="100" zoomScaleSheetLayoutView="100" workbookViewId="0">
      <pane ySplit="1" topLeftCell="A2" activePane="bottomLeft" state="frozen"/>
      <selection pane="bottomLeft" activeCell="D10" sqref="D10:F10"/>
    </sheetView>
  </sheetViews>
  <sheetFormatPr baseColWidth="10" defaultColWidth="10.7109375" defaultRowHeight="30" customHeight="1"/>
  <cols>
    <col min="1" max="1" width="2.7109375" style="1" customWidth="1"/>
    <col min="2" max="19" width="10.7109375" style="1"/>
    <col min="20" max="20" width="2.7109375" style="1" customWidth="1"/>
    <col min="21" max="16384" width="10.7109375" style="1"/>
  </cols>
  <sheetData>
    <row r="2" spans="2:23" ht="10" customHeight="1"/>
    <row r="3" spans="2:23" ht="30" customHeight="1">
      <c r="B3" s="61" t="s">
        <v>2</v>
      </c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3"/>
      <c r="O3" s="49" t="s">
        <v>4</v>
      </c>
      <c r="P3" s="50"/>
      <c r="Q3" s="49" t="s">
        <v>3</v>
      </c>
      <c r="R3" s="51"/>
      <c r="S3" s="50"/>
      <c r="T3" s="12"/>
      <c r="U3" s="13" t="s">
        <v>21</v>
      </c>
      <c r="V3" s="14">
        <f>D9</f>
        <v>1</v>
      </c>
      <c r="W3" s="15"/>
    </row>
    <row r="4" spans="2:23" ht="30" customHeight="1">
      <c r="B4" s="64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6"/>
      <c r="O4" s="52"/>
      <c r="P4" s="54"/>
      <c r="Q4" s="52"/>
      <c r="R4" s="53"/>
      <c r="S4" s="54"/>
      <c r="T4" s="12"/>
      <c r="U4" s="13" t="s">
        <v>40</v>
      </c>
      <c r="V4" s="14" t="str">
        <f ca="1">ROUNDUP(MONTH(D10)/3,0)&amp;"Q"</f>
        <v>1Q</v>
      </c>
      <c r="W4" s="15"/>
    </row>
    <row r="5" spans="2:23" ht="30" customHeight="1">
      <c r="B5" s="64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6"/>
      <c r="O5" s="55"/>
      <c r="P5" s="57"/>
      <c r="Q5" s="55"/>
      <c r="R5" s="56"/>
      <c r="S5" s="57"/>
      <c r="T5" s="12"/>
      <c r="U5" s="13" t="s">
        <v>23</v>
      </c>
      <c r="V5" s="14">
        <f ca="1">YEAR(D10)</f>
        <v>2019</v>
      </c>
      <c r="W5" s="15"/>
    </row>
    <row r="6" spans="2:23" ht="30" customHeight="1">
      <c r="B6" s="64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6"/>
      <c r="O6" s="55"/>
      <c r="P6" s="57"/>
      <c r="Q6" s="55"/>
      <c r="R6" s="56"/>
      <c r="S6" s="57"/>
      <c r="T6" s="12"/>
      <c r="U6" s="13" t="s">
        <v>25</v>
      </c>
      <c r="V6" s="14">
        <f ca="1">MONTH(D10)</f>
        <v>1</v>
      </c>
      <c r="W6" s="15"/>
    </row>
    <row r="7" spans="2:23" ht="30" customHeight="1">
      <c r="B7" s="67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9"/>
      <c r="O7" s="58"/>
      <c r="P7" s="60"/>
      <c r="Q7" s="58"/>
      <c r="R7" s="59"/>
      <c r="S7" s="60"/>
      <c r="T7" s="16"/>
      <c r="U7" s="13" t="s">
        <v>27</v>
      </c>
      <c r="V7" s="14">
        <f ca="1">DAY(D10)</f>
        <v>16</v>
      </c>
      <c r="W7" s="15"/>
    </row>
    <row r="8" spans="2:23" ht="10" customHeight="1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7"/>
      <c r="O8" s="17"/>
      <c r="P8" s="17"/>
      <c r="Q8" s="17"/>
      <c r="R8" s="17"/>
      <c r="S8" s="17"/>
      <c r="T8" s="16"/>
      <c r="U8" s="15"/>
      <c r="V8" s="18"/>
      <c r="W8" s="15"/>
    </row>
    <row r="9" spans="2:23" ht="30" customHeight="1">
      <c r="B9" s="71" t="s">
        <v>21</v>
      </c>
      <c r="C9" s="71"/>
      <c r="D9" s="73">
        <v>1</v>
      </c>
      <c r="E9" s="73"/>
      <c r="F9" s="73"/>
      <c r="G9" s="13" t="s">
        <v>32</v>
      </c>
      <c r="H9" s="70"/>
      <c r="I9" s="70"/>
      <c r="J9" s="70"/>
      <c r="K9" s="43" t="s">
        <v>5</v>
      </c>
      <c r="L9" s="44"/>
      <c r="M9" s="34"/>
      <c r="N9" s="35"/>
      <c r="O9" s="35"/>
      <c r="P9" s="35"/>
      <c r="Q9" s="35"/>
      <c r="R9" s="35"/>
      <c r="S9" s="36"/>
      <c r="T9" s="16"/>
      <c r="U9" s="13"/>
      <c r="V9" s="14"/>
      <c r="W9" s="15"/>
    </row>
    <row r="10" spans="2:23" ht="30" customHeight="1">
      <c r="B10" s="71" t="s">
        <v>6</v>
      </c>
      <c r="C10" s="71"/>
      <c r="D10" s="74">
        <f ca="1">TODAY()</f>
        <v>43481</v>
      </c>
      <c r="E10" s="74"/>
      <c r="F10" s="74"/>
      <c r="G10" s="13" t="s">
        <v>34</v>
      </c>
      <c r="H10" s="70"/>
      <c r="I10" s="70"/>
      <c r="J10" s="70"/>
      <c r="K10" s="45"/>
      <c r="L10" s="46"/>
      <c r="M10" s="37"/>
      <c r="N10" s="38"/>
      <c r="O10" s="38"/>
      <c r="P10" s="38"/>
      <c r="Q10" s="38"/>
      <c r="R10" s="38"/>
      <c r="S10" s="39"/>
      <c r="T10" s="16"/>
      <c r="U10" s="13"/>
      <c r="V10" s="14"/>
      <c r="W10" s="15"/>
    </row>
    <row r="11" spans="2:23" ht="30" customHeight="1">
      <c r="B11" s="71" t="s">
        <v>8</v>
      </c>
      <c r="C11" s="71"/>
      <c r="D11" s="70"/>
      <c r="E11" s="70"/>
      <c r="F11" s="70"/>
      <c r="G11" s="13" t="s">
        <v>434</v>
      </c>
      <c r="H11" s="72"/>
      <c r="I11" s="72"/>
      <c r="J11" s="72"/>
      <c r="K11" s="47"/>
      <c r="L11" s="48"/>
      <c r="M11" s="40"/>
      <c r="N11" s="41"/>
      <c r="O11" s="41"/>
      <c r="P11" s="41"/>
      <c r="Q11" s="41"/>
      <c r="R11" s="41"/>
      <c r="S11" s="42"/>
      <c r="T11" s="16"/>
      <c r="U11" s="13"/>
      <c r="V11" s="14"/>
      <c r="W11" s="15"/>
    </row>
    <row r="12" spans="2:23" ht="10" customHeight="1"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7"/>
      <c r="O12" s="17"/>
      <c r="P12" s="17"/>
      <c r="Q12" s="17"/>
      <c r="R12" s="17"/>
      <c r="S12" s="17"/>
      <c r="T12" s="16"/>
      <c r="U12" s="15"/>
      <c r="V12" s="18"/>
      <c r="W12" s="15"/>
    </row>
    <row r="13" spans="2:23" ht="38">
      <c r="B13" s="13" t="s">
        <v>11</v>
      </c>
      <c r="C13" s="13" t="s">
        <v>32</v>
      </c>
      <c r="D13" s="13" t="s">
        <v>34</v>
      </c>
      <c r="E13" s="33" t="s">
        <v>112</v>
      </c>
      <c r="F13" s="33" t="s">
        <v>113</v>
      </c>
      <c r="G13" s="13" t="s">
        <v>36</v>
      </c>
      <c r="H13" s="13" t="s">
        <v>38</v>
      </c>
      <c r="I13" s="33" t="s">
        <v>118</v>
      </c>
      <c r="J13" s="33" t="s">
        <v>117</v>
      </c>
      <c r="K13" s="33" t="s">
        <v>116</v>
      </c>
      <c r="L13" s="33" t="s">
        <v>115</v>
      </c>
      <c r="M13" s="33" t="s">
        <v>114</v>
      </c>
      <c r="N13" s="33" t="s">
        <v>119</v>
      </c>
      <c r="O13" s="33" t="s">
        <v>120</v>
      </c>
      <c r="P13" s="33" t="s">
        <v>121</v>
      </c>
      <c r="Q13" s="33" t="s">
        <v>122</v>
      </c>
      <c r="R13" s="49" t="s">
        <v>19</v>
      </c>
      <c r="S13" s="50"/>
      <c r="T13" s="2"/>
      <c r="U13" s="13" t="s">
        <v>29</v>
      </c>
      <c r="V13" s="13"/>
      <c r="W13" s="15"/>
    </row>
    <row r="14" spans="2:23" ht="30" customHeight="1">
      <c r="B14" s="19">
        <v>1</v>
      </c>
      <c r="C14" s="20"/>
      <c r="D14" s="19"/>
      <c r="E14" s="21"/>
      <c r="F14" s="21"/>
      <c r="G14" s="19"/>
      <c r="H14" s="19"/>
      <c r="I14" s="22"/>
      <c r="J14" s="23"/>
      <c r="K14" s="23"/>
      <c r="L14" s="23"/>
      <c r="M14" s="24"/>
      <c r="N14" s="21" t="str">
        <f t="shared" ref="N14:N33" si="0">IFERROR(IF(SUM(E14:F14)&gt;0,SUM(E14:F14),""),"")</f>
        <v/>
      </c>
      <c r="O14" s="23" t="str">
        <f t="shared" ref="O14:O33" si="1">IFERROR(IF(SUM(J14:L14)&gt;0,SUM(J14:L14),""),"")</f>
        <v/>
      </c>
      <c r="P14" s="21" t="str">
        <f t="shared" ref="P14:P33" si="2">IFERROR(IF(I14*O14&gt;0,I14*O14,""),"")</f>
        <v/>
      </c>
      <c r="Q14" s="25" t="str">
        <f t="shared" ref="Q14:Q33" si="3">IFERROR(IF(M14*O14/3600&gt;0,M14*O14/3600,""),"")</f>
        <v/>
      </c>
      <c r="R14" s="75"/>
      <c r="S14" s="76"/>
      <c r="T14" s="26"/>
      <c r="U14" s="14">
        <f t="shared" ref="U14:U22" si="4">VALUE($V$3&amp;"0"&amp;ROW()-13)</f>
        <v>101</v>
      </c>
      <c r="V14" s="19"/>
      <c r="W14" s="15"/>
    </row>
    <row r="15" spans="2:23" ht="30" customHeight="1">
      <c r="B15" s="19">
        <v>2</v>
      </c>
      <c r="C15" s="20"/>
      <c r="D15" s="19"/>
      <c r="E15" s="21"/>
      <c r="F15" s="21"/>
      <c r="G15" s="19"/>
      <c r="H15" s="19"/>
      <c r="I15" s="22"/>
      <c r="J15" s="23"/>
      <c r="K15" s="23"/>
      <c r="L15" s="23"/>
      <c r="M15" s="24"/>
      <c r="N15" s="21" t="str">
        <f t="shared" si="0"/>
        <v/>
      </c>
      <c r="O15" s="23" t="str">
        <f t="shared" si="1"/>
        <v/>
      </c>
      <c r="P15" s="21" t="str">
        <f t="shared" si="2"/>
        <v/>
      </c>
      <c r="Q15" s="25" t="str">
        <f t="shared" si="3"/>
        <v/>
      </c>
      <c r="R15" s="75"/>
      <c r="S15" s="76"/>
      <c r="T15" s="26"/>
      <c r="U15" s="14">
        <f t="shared" si="4"/>
        <v>102</v>
      </c>
      <c r="V15" s="19"/>
      <c r="W15" s="15"/>
    </row>
    <row r="16" spans="2:23" ht="30" customHeight="1">
      <c r="B16" s="19">
        <v>3</v>
      </c>
      <c r="C16" s="20"/>
      <c r="D16" s="19"/>
      <c r="E16" s="21"/>
      <c r="F16" s="21"/>
      <c r="G16" s="19"/>
      <c r="H16" s="19"/>
      <c r="I16" s="22"/>
      <c r="J16" s="23"/>
      <c r="K16" s="23"/>
      <c r="L16" s="23"/>
      <c r="M16" s="24"/>
      <c r="N16" s="21" t="str">
        <f t="shared" si="0"/>
        <v/>
      </c>
      <c r="O16" s="23" t="str">
        <f t="shared" si="1"/>
        <v/>
      </c>
      <c r="P16" s="21" t="str">
        <f t="shared" si="2"/>
        <v/>
      </c>
      <c r="Q16" s="25" t="str">
        <f t="shared" si="3"/>
        <v/>
      </c>
      <c r="R16" s="75"/>
      <c r="S16" s="76"/>
      <c r="T16" s="26"/>
      <c r="U16" s="14">
        <f t="shared" si="4"/>
        <v>103</v>
      </c>
      <c r="V16" s="19"/>
      <c r="W16" s="15"/>
    </row>
    <row r="17" spans="2:23" ht="30" customHeight="1">
      <c r="B17" s="19">
        <v>4</v>
      </c>
      <c r="C17" s="20"/>
      <c r="D17" s="19"/>
      <c r="E17" s="21"/>
      <c r="F17" s="21"/>
      <c r="G17" s="19"/>
      <c r="H17" s="19"/>
      <c r="I17" s="22"/>
      <c r="J17" s="23"/>
      <c r="K17" s="23"/>
      <c r="L17" s="23"/>
      <c r="M17" s="24"/>
      <c r="N17" s="21" t="str">
        <f t="shared" si="0"/>
        <v/>
      </c>
      <c r="O17" s="23" t="str">
        <f t="shared" si="1"/>
        <v/>
      </c>
      <c r="P17" s="21" t="str">
        <f t="shared" si="2"/>
        <v/>
      </c>
      <c r="Q17" s="25" t="str">
        <f t="shared" si="3"/>
        <v/>
      </c>
      <c r="R17" s="75"/>
      <c r="S17" s="76"/>
      <c r="T17" s="26"/>
      <c r="U17" s="14">
        <f t="shared" si="4"/>
        <v>104</v>
      </c>
      <c r="V17" s="19"/>
      <c r="W17" s="15"/>
    </row>
    <row r="18" spans="2:23" ht="30" customHeight="1">
      <c r="B18" s="19">
        <v>5</v>
      </c>
      <c r="C18" s="20"/>
      <c r="D18" s="19"/>
      <c r="E18" s="21"/>
      <c r="F18" s="21"/>
      <c r="G18" s="19"/>
      <c r="H18" s="19"/>
      <c r="I18" s="22"/>
      <c r="J18" s="23"/>
      <c r="K18" s="23"/>
      <c r="L18" s="23"/>
      <c r="M18" s="24"/>
      <c r="N18" s="21" t="str">
        <f t="shared" si="0"/>
        <v/>
      </c>
      <c r="O18" s="23" t="str">
        <f t="shared" si="1"/>
        <v/>
      </c>
      <c r="P18" s="21" t="str">
        <f t="shared" si="2"/>
        <v/>
      </c>
      <c r="Q18" s="25" t="str">
        <f t="shared" si="3"/>
        <v/>
      </c>
      <c r="R18" s="75"/>
      <c r="S18" s="76"/>
      <c r="T18" s="26"/>
      <c r="U18" s="14">
        <f t="shared" si="4"/>
        <v>105</v>
      </c>
      <c r="V18" s="19"/>
      <c r="W18" s="15"/>
    </row>
    <row r="19" spans="2:23" ht="30" customHeight="1">
      <c r="B19" s="19">
        <v>6</v>
      </c>
      <c r="C19" s="20"/>
      <c r="D19" s="19"/>
      <c r="E19" s="21"/>
      <c r="F19" s="21"/>
      <c r="G19" s="19"/>
      <c r="H19" s="19"/>
      <c r="I19" s="22"/>
      <c r="J19" s="23"/>
      <c r="K19" s="23"/>
      <c r="L19" s="23"/>
      <c r="M19" s="24"/>
      <c r="N19" s="21" t="str">
        <f t="shared" si="0"/>
        <v/>
      </c>
      <c r="O19" s="23" t="str">
        <f t="shared" si="1"/>
        <v/>
      </c>
      <c r="P19" s="21" t="str">
        <f t="shared" si="2"/>
        <v/>
      </c>
      <c r="Q19" s="25" t="str">
        <f t="shared" si="3"/>
        <v/>
      </c>
      <c r="R19" s="75"/>
      <c r="S19" s="76"/>
      <c r="T19" s="26"/>
      <c r="U19" s="14">
        <f t="shared" si="4"/>
        <v>106</v>
      </c>
      <c r="V19" s="19"/>
      <c r="W19" s="15"/>
    </row>
    <row r="20" spans="2:23" ht="30" customHeight="1">
      <c r="B20" s="19">
        <v>7</v>
      </c>
      <c r="C20" s="20"/>
      <c r="D20" s="19"/>
      <c r="E20" s="21"/>
      <c r="F20" s="21"/>
      <c r="G20" s="19"/>
      <c r="H20" s="19"/>
      <c r="I20" s="22"/>
      <c r="J20" s="23"/>
      <c r="K20" s="23"/>
      <c r="L20" s="23"/>
      <c r="M20" s="24"/>
      <c r="N20" s="21" t="str">
        <f t="shared" si="0"/>
        <v/>
      </c>
      <c r="O20" s="23" t="str">
        <f t="shared" si="1"/>
        <v/>
      </c>
      <c r="P20" s="21" t="str">
        <f t="shared" si="2"/>
        <v/>
      </c>
      <c r="Q20" s="25" t="str">
        <f t="shared" si="3"/>
        <v/>
      </c>
      <c r="R20" s="75"/>
      <c r="S20" s="76"/>
      <c r="T20" s="26"/>
      <c r="U20" s="14">
        <f t="shared" si="4"/>
        <v>107</v>
      </c>
      <c r="V20" s="19"/>
      <c r="W20" s="15"/>
    </row>
    <row r="21" spans="2:23" ht="30" customHeight="1">
      <c r="B21" s="19">
        <v>8</v>
      </c>
      <c r="C21" s="20"/>
      <c r="D21" s="19"/>
      <c r="E21" s="21"/>
      <c r="F21" s="21"/>
      <c r="G21" s="19"/>
      <c r="H21" s="19"/>
      <c r="I21" s="22"/>
      <c r="J21" s="23"/>
      <c r="K21" s="23"/>
      <c r="L21" s="23"/>
      <c r="M21" s="24"/>
      <c r="N21" s="21" t="str">
        <f t="shared" si="0"/>
        <v/>
      </c>
      <c r="O21" s="23" t="str">
        <f t="shared" si="1"/>
        <v/>
      </c>
      <c r="P21" s="21" t="str">
        <f t="shared" si="2"/>
        <v/>
      </c>
      <c r="Q21" s="25" t="str">
        <f t="shared" si="3"/>
        <v/>
      </c>
      <c r="R21" s="75"/>
      <c r="S21" s="76"/>
      <c r="T21" s="26"/>
      <c r="U21" s="14">
        <f t="shared" si="4"/>
        <v>108</v>
      </c>
      <c r="V21" s="19"/>
      <c r="W21" s="15"/>
    </row>
    <row r="22" spans="2:23" ht="30" customHeight="1">
      <c r="B22" s="19">
        <v>9</v>
      </c>
      <c r="C22" s="20"/>
      <c r="D22" s="19"/>
      <c r="E22" s="21"/>
      <c r="F22" s="21"/>
      <c r="G22" s="19"/>
      <c r="H22" s="19"/>
      <c r="I22" s="22"/>
      <c r="J22" s="23"/>
      <c r="K22" s="23"/>
      <c r="L22" s="23"/>
      <c r="M22" s="24"/>
      <c r="N22" s="21" t="str">
        <f t="shared" si="0"/>
        <v/>
      </c>
      <c r="O22" s="23" t="str">
        <f t="shared" si="1"/>
        <v/>
      </c>
      <c r="P22" s="21" t="str">
        <f t="shared" si="2"/>
        <v/>
      </c>
      <c r="Q22" s="25" t="str">
        <f t="shared" si="3"/>
        <v/>
      </c>
      <c r="R22" s="75"/>
      <c r="S22" s="76"/>
      <c r="T22" s="26"/>
      <c r="U22" s="14">
        <f t="shared" si="4"/>
        <v>109</v>
      </c>
      <c r="V22" s="19"/>
      <c r="W22" s="15"/>
    </row>
    <row r="23" spans="2:23" ht="30" customHeight="1">
      <c r="B23" s="19">
        <v>10</v>
      </c>
      <c r="C23" s="20"/>
      <c r="D23" s="19"/>
      <c r="E23" s="21"/>
      <c r="F23" s="21"/>
      <c r="G23" s="19"/>
      <c r="H23" s="19"/>
      <c r="I23" s="22"/>
      <c r="J23" s="23"/>
      <c r="K23" s="23"/>
      <c r="L23" s="23"/>
      <c r="M23" s="24"/>
      <c r="N23" s="21" t="str">
        <f t="shared" si="0"/>
        <v/>
      </c>
      <c r="O23" s="23" t="str">
        <f t="shared" si="1"/>
        <v/>
      </c>
      <c r="P23" s="21" t="str">
        <f t="shared" si="2"/>
        <v/>
      </c>
      <c r="Q23" s="25" t="str">
        <f t="shared" si="3"/>
        <v/>
      </c>
      <c r="R23" s="75"/>
      <c r="S23" s="76"/>
      <c r="T23" s="2"/>
      <c r="U23" s="14">
        <f t="shared" ref="U23:U33" si="5">VALUE($V$3&amp;ROW()-13)</f>
        <v>110</v>
      </c>
      <c r="V23" s="19"/>
      <c r="W23" s="15"/>
    </row>
    <row r="24" spans="2:23" ht="30" customHeight="1">
      <c r="B24" s="19">
        <v>11</v>
      </c>
      <c r="C24" s="20"/>
      <c r="D24" s="19"/>
      <c r="E24" s="21"/>
      <c r="F24" s="21"/>
      <c r="G24" s="19"/>
      <c r="H24" s="19"/>
      <c r="I24" s="22"/>
      <c r="J24" s="23"/>
      <c r="K24" s="23"/>
      <c r="L24" s="23"/>
      <c r="M24" s="24"/>
      <c r="N24" s="21" t="str">
        <f t="shared" si="0"/>
        <v/>
      </c>
      <c r="O24" s="23" t="str">
        <f t="shared" si="1"/>
        <v/>
      </c>
      <c r="P24" s="21" t="str">
        <f t="shared" si="2"/>
        <v/>
      </c>
      <c r="Q24" s="25" t="str">
        <f t="shared" si="3"/>
        <v/>
      </c>
      <c r="R24" s="75"/>
      <c r="S24" s="76"/>
      <c r="T24" s="26"/>
      <c r="U24" s="14">
        <f t="shared" si="5"/>
        <v>111</v>
      </c>
      <c r="V24" s="19"/>
      <c r="W24" s="15"/>
    </row>
    <row r="25" spans="2:23" ht="30" customHeight="1">
      <c r="B25" s="19">
        <v>12</v>
      </c>
      <c r="C25" s="20"/>
      <c r="D25" s="19"/>
      <c r="E25" s="21"/>
      <c r="F25" s="21"/>
      <c r="G25" s="19"/>
      <c r="H25" s="19"/>
      <c r="I25" s="22"/>
      <c r="J25" s="23"/>
      <c r="K25" s="23"/>
      <c r="L25" s="23"/>
      <c r="M25" s="24"/>
      <c r="N25" s="21" t="str">
        <f t="shared" si="0"/>
        <v/>
      </c>
      <c r="O25" s="23" t="str">
        <f t="shared" si="1"/>
        <v/>
      </c>
      <c r="P25" s="21" t="str">
        <f t="shared" si="2"/>
        <v/>
      </c>
      <c r="Q25" s="25" t="str">
        <f t="shared" si="3"/>
        <v/>
      </c>
      <c r="R25" s="75"/>
      <c r="S25" s="76"/>
      <c r="T25" s="26"/>
      <c r="U25" s="14">
        <f t="shared" si="5"/>
        <v>112</v>
      </c>
      <c r="V25" s="19"/>
      <c r="W25" s="15"/>
    </row>
    <row r="26" spans="2:23" ht="30" customHeight="1">
      <c r="B26" s="19">
        <v>13</v>
      </c>
      <c r="C26" s="20"/>
      <c r="D26" s="19"/>
      <c r="E26" s="21"/>
      <c r="F26" s="21"/>
      <c r="G26" s="19"/>
      <c r="H26" s="19"/>
      <c r="I26" s="22"/>
      <c r="J26" s="23"/>
      <c r="K26" s="23"/>
      <c r="L26" s="23"/>
      <c r="M26" s="24"/>
      <c r="N26" s="21" t="str">
        <f t="shared" si="0"/>
        <v/>
      </c>
      <c r="O26" s="23" t="str">
        <f t="shared" si="1"/>
        <v/>
      </c>
      <c r="P26" s="21" t="str">
        <f t="shared" si="2"/>
        <v/>
      </c>
      <c r="Q26" s="25" t="str">
        <f t="shared" si="3"/>
        <v/>
      </c>
      <c r="R26" s="75"/>
      <c r="S26" s="76"/>
      <c r="T26" s="26"/>
      <c r="U26" s="14">
        <f t="shared" si="5"/>
        <v>113</v>
      </c>
      <c r="V26" s="19"/>
      <c r="W26" s="15"/>
    </row>
    <row r="27" spans="2:23" ht="30" customHeight="1">
      <c r="B27" s="19">
        <v>14</v>
      </c>
      <c r="C27" s="20"/>
      <c r="D27" s="19"/>
      <c r="E27" s="21"/>
      <c r="F27" s="21"/>
      <c r="G27" s="19"/>
      <c r="H27" s="19"/>
      <c r="I27" s="22"/>
      <c r="J27" s="23"/>
      <c r="K27" s="23"/>
      <c r="L27" s="23"/>
      <c r="M27" s="24"/>
      <c r="N27" s="21" t="str">
        <f t="shared" si="0"/>
        <v/>
      </c>
      <c r="O27" s="23" t="str">
        <f t="shared" si="1"/>
        <v/>
      </c>
      <c r="P27" s="21" t="str">
        <f t="shared" si="2"/>
        <v/>
      </c>
      <c r="Q27" s="25" t="str">
        <f t="shared" si="3"/>
        <v/>
      </c>
      <c r="R27" s="75"/>
      <c r="S27" s="76"/>
      <c r="T27" s="26"/>
      <c r="U27" s="14">
        <f t="shared" si="5"/>
        <v>114</v>
      </c>
      <c r="V27" s="19"/>
      <c r="W27" s="15"/>
    </row>
    <row r="28" spans="2:23" ht="30" customHeight="1">
      <c r="B28" s="19">
        <v>15</v>
      </c>
      <c r="C28" s="20"/>
      <c r="D28" s="19"/>
      <c r="E28" s="21"/>
      <c r="F28" s="21"/>
      <c r="G28" s="19"/>
      <c r="H28" s="19"/>
      <c r="I28" s="22"/>
      <c r="J28" s="23"/>
      <c r="K28" s="23"/>
      <c r="L28" s="23"/>
      <c r="M28" s="24"/>
      <c r="N28" s="21" t="str">
        <f t="shared" si="0"/>
        <v/>
      </c>
      <c r="O28" s="23" t="str">
        <f t="shared" si="1"/>
        <v/>
      </c>
      <c r="P28" s="21" t="str">
        <f t="shared" si="2"/>
        <v/>
      </c>
      <c r="Q28" s="25" t="str">
        <f t="shared" si="3"/>
        <v/>
      </c>
      <c r="R28" s="75"/>
      <c r="S28" s="76"/>
      <c r="T28" s="26"/>
      <c r="U28" s="14">
        <f t="shared" si="5"/>
        <v>115</v>
      </c>
      <c r="V28" s="19"/>
      <c r="W28" s="15"/>
    </row>
    <row r="29" spans="2:23" ht="30" customHeight="1">
      <c r="B29" s="19">
        <v>16</v>
      </c>
      <c r="C29" s="20"/>
      <c r="D29" s="19"/>
      <c r="E29" s="21"/>
      <c r="F29" s="21"/>
      <c r="G29" s="19"/>
      <c r="H29" s="19"/>
      <c r="I29" s="22"/>
      <c r="J29" s="23"/>
      <c r="K29" s="23"/>
      <c r="L29" s="23"/>
      <c r="M29" s="24"/>
      <c r="N29" s="21" t="str">
        <f t="shared" si="0"/>
        <v/>
      </c>
      <c r="O29" s="23" t="str">
        <f t="shared" si="1"/>
        <v/>
      </c>
      <c r="P29" s="21" t="str">
        <f t="shared" si="2"/>
        <v/>
      </c>
      <c r="Q29" s="25" t="str">
        <f t="shared" si="3"/>
        <v/>
      </c>
      <c r="R29" s="75"/>
      <c r="S29" s="76"/>
      <c r="T29" s="26"/>
      <c r="U29" s="14">
        <f t="shared" si="5"/>
        <v>116</v>
      </c>
      <c r="V29" s="19"/>
      <c r="W29" s="15"/>
    </row>
    <row r="30" spans="2:23" ht="30" customHeight="1">
      <c r="B30" s="19">
        <v>17</v>
      </c>
      <c r="C30" s="20"/>
      <c r="D30" s="19"/>
      <c r="E30" s="21"/>
      <c r="F30" s="21"/>
      <c r="G30" s="19"/>
      <c r="H30" s="19"/>
      <c r="I30" s="22"/>
      <c r="J30" s="23"/>
      <c r="K30" s="23"/>
      <c r="L30" s="23"/>
      <c r="M30" s="24"/>
      <c r="N30" s="21" t="str">
        <f t="shared" si="0"/>
        <v/>
      </c>
      <c r="O30" s="23" t="str">
        <f t="shared" si="1"/>
        <v/>
      </c>
      <c r="P30" s="21" t="str">
        <f t="shared" si="2"/>
        <v/>
      </c>
      <c r="Q30" s="25" t="str">
        <f t="shared" si="3"/>
        <v/>
      </c>
      <c r="R30" s="75"/>
      <c r="S30" s="76"/>
      <c r="T30" s="26"/>
      <c r="U30" s="14">
        <f t="shared" si="5"/>
        <v>117</v>
      </c>
      <c r="V30" s="19"/>
      <c r="W30" s="15"/>
    </row>
    <row r="31" spans="2:23" ht="30" customHeight="1">
      <c r="B31" s="19">
        <v>18</v>
      </c>
      <c r="C31" s="20"/>
      <c r="D31" s="19"/>
      <c r="E31" s="21"/>
      <c r="F31" s="21"/>
      <c r="G31" s="19"/>
      <c r="H31" s="19"/>
      <c r="I31" s="22"/>
      <c r="J31" s="23"/>
      <c r="K31" s="23"/>
      <c r="L31" s="23"/>
      <c r="M31" s="24"/>
      <c r="N31" s="21" t="str">
        <f t="shared" si="0"/>
        <v/>
      </c>
      <c r="O31" s="23" t="str">
        <f t="shared" si="1"/>
        <v/>
      </c>
      <c r="P31" s="21" t="str">
        <f t="shared" si="2"/>
        <v/>
      </c>
      <c r="Q31" s="25" t="str">
        <f t="shared" si="3"/>
        <v/>
      </c>
      <c r="R31" s="75"/>
      <c r="S31" s="76"/>
      <c r="T31" s="26"/>
      <c r="U31" s="14">
        <f t="shared" si="5"/>
        <v>118</v>
      </c>
      <c r="V31" s="19"/>
      <c r="W31" s="15"/>
    </row>
    <row r="32" spans="2:23" ht="30" customHeight="1">
      <c r="B32" s="19">
        <v>19</v>
      </c>
      <c r="C32" s="20"/>
      <c r="D32" s="19"/>
      <c r="E32" s="21"/>
      <c r="F32" s="21"/>
      <c r="G32" s="19"/>
      <c r="H32" s="19"/>
      <c r="I32" s="22"/>
      <c r="J32" s="23"/>
      <c r="K32" s="23"/>
      <c r="L32" s="23"/>
      <c r="M32" s="24"/>
      <c r="N32" s="21" t="str">
        <f t="shared" si="0"/>
        <v/>
      </c>
      <c r="O32" s="23" t="str">
        <f t="shared" si="1"/>
        <v/>
      </c>
      <c r="P32" s="21" t="str">
        <f t="shared" si="2"/>
        <v/>
      </c>
      <c r="Q32" s="25" t="str">
        <f t="shared" si="3"/>
        <v/>
      </c>
      <c r="R32" s="75"/>
      <c r="S32" s="76"/>
      <c r="T32" s="26"/>
      <c r="U32" s="14">
        <f t="shared" si="5"/>
        <v>119</v>
      </c>
      <c r="V32" s="19"/>
      <c r="W32" s="15"/>
    </row>
    <row r="33" spans="2:23" ht="30" customHeight="1">
      <c r="B33" s="19">
        <v>20</v>
      </c>
      <c r="C33" s="20"/>
      <c r="D33" s="19"/>
      <c r="E33" s="21"/>
      <c r="F33" s="21"/>
      <c r="G33" s="19"/>
      <c r="H33" s="19"/>
      <c r="I33" s="22"/>
      <c r="J33" s="23"/>
      <c r="K33" s="23"/>
      <c r="L33" s="23"/>
      <c r="M33" s="24"/>
      <c r="N33" s="21" t="str">
        <f t="shared" si="0"/>
        <v/>
      </c>
      <c r="O33" s="23" t="str">
        <f t="shared" si="1"/>
        <v/>
      </c>
      <c r="P33" s="21" t="str">
        <f t="shared" si="2"/>
        <v/>
      </c>
      <c r="Q33" s="25" t="str">
        <f t="shared" si="3"/>
        <v/>
      </c>
      <c r="R33" s="75"/>
      <c r="S33" s="76"/>
      <c r="T33" s="2"/>
      <c r="U33" s="14">
        <f t="shared" si="5"/>
        <v>120</v>
      </c>
      <c r="V33" s="19"/>
      <c r="W33" s="15"/>
    </row>
    <row r="34" spans="2:23" ht="30" customHeight="1">
      <c r="B34" s="77" t="s">
        <v>30</v>
      </c>
      <c r="C34" s="78"/>
      <c r="D34" s="79"/>
      <c r="E34" s="27" t="str">
        <f>IFERROR(IF(SUM(E14:E33)&gt;0,SUM(E14:E33),""),"")</f>
        <v/>
      </c>
      <c r="F34" s="27" t="str">
        <f>IFERROR(IF(SUM(F14:F33)&gt;0,SUM(F14:F33),""),"")</f>
        <v/>
      </c>
      <c r="G34" s="13"/>
      <c r="H34" s="13"/>
      <c r="I34" s="28" t="str">
        <f t="shared" ref="I34:Q34" si="6">IFERROR(IF(SUM(I14:I33)&gt;0,SUM(I14:I33),""),"")</f>
        <v/>
      </c>
      <c r="J34" s="29" t="str">
        <f t="shared" si="6"/>
        <v/>
      </c>
      <c r="K34" s="29" t="str">
        <f t="shared" si="6"/>
        <v/>
      </c>
      <c r="L34" s="29" t="str">
        <f t="shared" si="6"/>
        <v/>
      </c>
      <c r="M34" s="30" t="str">
        <f t="shared" si="6"/>
        <v/>
      </c>
      <c r="N34" s="31" t="str">
        <f t="shared" si="6"/>
        <v/>
      </c>
      <c r="O34" s="29" t="str">
        <f t="shared" si="6"/>
        <v/>
      </c>
      <c r="P34" s="31" t="str">
        <f t="shared" si="6"/>
        <v/>
      </c>
      <c r="Q34" s="32" t="str">
        <f t="shared" si="6"/>
        <v/>
      </c>
      <c r="R34" s="80"/>
      <c r="S34" s="81"/>
      <c r="T34" s="16"/>
      <c r="U34" s="13">
        <f>IFERROR(IF(COUNT(U14:U33)&gt;0,COUNT(U14:U33),""),"")</f>
        <v>20</v>
      </c>
      <c r="V34" s="13"/>
      <c r="W34" s="17"/>
    </row>
  </sheetData>
  <mergeCells count="39">
    <mergeCell ref="R27:S27"/>
    <mergeCell ref="R28:S28"/>
    <mergeCell ref="R29:S29"/>
    <mergeCell ref="R32:S32"/>
    <mergeCell ref="B34:D34"/>
    <mergeCell ref="R30:S30"/>
    <mergeCell ref="R33:S33"/>
    <mergeCell ref="R34:S34"/>
    <mergeCell ref="R31:S31"/>
    <mergeCell ref="R13:S13"/>
    <mergeCell ref="R24:S24"/>
    <mergeCell ref="R25:S25"/>
    <mergeCell ref="R26:S26"/>
    <mergeCell ref="R14:S14"/>
    <mergeCell ref="R15:S15"/>
    <mergeCell ref="R16:S16"/>
    <mergeCell ref="R17:S17"/>
    <mergeCell ref="R18:S18"/>
    <mergeCell ref="R19:S19"/>
    <mergeCell ref="R20:S20"/>
    <mergeCell ref="R21:S21"/>
    <mergeCell ref="R23:S23"/>
    <mergeCell ref="R22:S22"/>
    <mergeCell ref="M9:S11"/>
    <mergeCell ref="K9:L11"/>
    <mergeCell ref="O3:P3"/>
    <mergeCell ref="Q3:S3"/>
    <mergeCell ref="Q4:S7"/>
    <mergeCell ref="O4:P7"/>
    <mergeCell ref="B3:N7"/>
    <mergeCell ref="H9:J9"/>
    <mergeCell ref="B10:C10"/>
    <mergeCell ref="H10:J10"/>
    <mergeCell ref="B11:C11"/>
    <mergeCell ref="D11:F11"/>
    <mergeCell ref="H11:J11"/>
    <mergeCell ref="B9:C9"/>
    <mergeCell ref="D9:F9"/>
    <mergeCell ref="D10:F10"/>
  </mergeCells>
  <phoneticPr fontId="1" type="noConversion"/>
  <dataValidations count="6">
    <dataValidation type="list" allowBlank="1" showInputMessage="1" showErrorMessage="1" sqref="C14:C33" xr:uid="{2CCC5919-76F1-4A43-807F-84157824B835}">
      <formula1>LIST1</formula1>
    </dataValidation>
    <dataValidation type="list" allowBlank="1" showInputMessage="1" showErrorMessage="1" sqref="D14:D33" xr:uid="{EB046464-5061-5447-9C30-E67049F27B32}">
      <formula1>LIST2</formula1>
    </dataValidation>
    <dataValidation type="list" allowBlank="1" showInputMessage="1" showErrorMessage="1" sqref="G14:G33" xr:uid="{C37981E4-D012-904D-9858-5B3BE70EB0D1}">
      <formula1>LIST3</formula1>
    </dataValidation>
    <dataValidation type="list" allowBlank="1" showInputMessage="1" showErrorMessage="1" sqref="H14:H33" xr:uid="{4586A437-7AA5-4348-9310-496D17AE3CCA}">
      <formula1>LIST4</formula1>
    </dataValidation>
    <dataValidation type="list" allowBlank="1" showInputMessage="1" showErrorMessage="1" sqref="H9:J9" xr:uid="{11198856-728F-BC4F-A935-CDE596C47F39}">
      <formula1>STATIC_LIST1</formula1>
    </dataValidation>
    <dataValidation type="list" allowBlank="1" showInputMessage="1" showErrorMessage="1" sqref="H10:J10" xr:uid="{9BEEF1A1-FD96-8A4F-8872-D88B7CF5724D}">
      <formula1>STATIC_LIST2</formula1>
    </dataValidation>
  </dataValidations>
  <printOptions horizontalCentered="1" verticalCentered="1"/>
  <pageMargins left="0.39370078740157483" right="0" top="0" bottom="0.39370078740157483" header="0" footer="0"/>
  <pageSetup paperSize="9" scale="57" orientation="landscape" horizontalDpi="4294967293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34"/>
  <sheetViews>
    <sheetView zoomScaleNormal="100" zoomScaleSheetLayoutView="98" workbookViewId="0">
      <pane ySplit="1" topLeftCell="A2" activePane="bottomLeft" state="frozen"/>
      <selection pane="bottomLeft" activeCell="H5" sqref="H5"/>
    </sheetView>
  </sheetViews>
  <sheetFormatPr baseColWidth="10" defaultColWidth="10.7109375" defaultRowHeight="30" customHeight="1"/>
  <cols>
    <col min="1" max="1" width="8.5703125" style="4" bestFit="1" customWidth="1"/>
    <col min="2" max="2" width="11" style="4" bestFit="1" customWidth="1"/>
    <col min="3" max="3" width="12.7109375" style="4" customWidth="1"/>
    <col min="4" max="4" width="12.7109375" style="4" bestFit="1" customWidth="1"/>
    <col min="5" max="6" width="12.7109375" style="4" customWidth="1"/>
    <col min="7" max="7" width="2.7109375" style="3" bestFit="1" customWidth="1"/>
    <col min="8" max="16384" width="10.7109375" style="3"/>
  </cols>
  <sheetData>
    <row r="1" spans="1:6" ht="30" customHeight="1">
      <c r="A1" s="5" t="s">
        <v>32</v>
      </c>
      <c r="B1" s="5" t="s">
        <v>33</v>
      </c>
      <c r="C1" s="5" t="s">
        <v>35</v>
      </c>
      <c r="D1" s="5" t="s">
        <v>37</v>
      </c>
      <c r="E1" s="5" t="s">
        <v>43</v>
      </c>
      <c r="F1" s="5" t="s">
        <v>45</v>
      </c>
    </row>
    <row r="2" spans="1:6" ht="30" customHeight="1">
      <c r="A2" s="4" t="s">
        <v>41</v>
      </c>
      <c r="B2" s="4" t="s">
        <v>41</v>
      </c>
      <c r="C2" s="4" t="s">
        <v>41</v>
      </c>
      <c r="D2" s="4" t="s">
        <v>41</v>
      </c>
      <c r="E2" s="4" t="s">
        <v>41</v>
      </c>
      <c r="F2" s="4" t="s">
        <v>41</v>
      </c>
    </row>
    <row r="3" spans="1:6" ht="30" customHeight="1">
      <c r="A3" s="4" t="s">
        <v>8</v>
      </c>
      <c r="B3" s="4" t="s">
        <v>8</v>
      </c>
      <c r="C3" s="4" t="s">
        <v>8</v>
      </c>
      <c r="D3" s="4" t="s">
        <v>8</v>
      </c>
      <c r="E3" s="4" t="s">
        <v>47</v>
      </c>
      <c r="F3" s="4" t="s">
        <v>47</v>
      </c>
    </row>
    <row r="4" spans="1:6" ht="30" customHeight="1">
      <c r="A4" s="4" t="s">
        <v>7</v>
      </c>
      <c r="B4" s="4" t="s">
        <v>7</v>
      </c>
      <c r="C4" s="4" t="s">
        <v>7</v>
      </c>
      <c r="D4" s="4" t="s">
        <v>7</v>
      </c>
      <c r="E4" s="4" t="s">
        <v>48</v>
      </c>
      <c r="F4" s="4" t="s">
        <v>48</v>
      </c>
    </row>
    <row r="5" spans="1:6" ht="30" customHeight="1">
      <c r="A5" s="4" t="s">
        <v>9</v>
      </c>
      <c r="B5" s="4" t="s">
        <v>9</v>
      </c>
      <c r="C5" s="4" t="s">
        <v>9</v>
      </c>
      <c r="D5" s="4" t="s">
        <v>9</v>
      </c>
      <c r="F5" s="4" t="s">
        <v>49</v>
      </c>
    </row>
    <row r="6" spans="1:6" ht="30" customHeight="1">
      <c r="A6" s="4" t="s">
        <v>12</v>
      </c>
      <c r="C6" s="4" t="s">
        <v>12</v>
      </c>
      <c r="D6" s="4" t="s">
        <v>12</v>
      </c>
      <c r="F6" s="4" t="s">
        <v>50</v>
      </c>
    </row>
    <row r="7" spans="1:6" ht="30" customHeight="1">
      <c r="A7" s="4" t="s">
        <v>13</v>
      </c>
      <c r="C7" s="4" t="s">
        <v>13</v>
      </c>
      <c r="D7" s="4" t="s">
        <v>13</v>
      </c>
    </row>
    <row r="8" spans="1:6" ht="30" customHeight="1">
      <c r="A8" s="4" t="s">
        <v>14</v>
      </c>
      <c r="C8" s="4" t="s">
        <v>14</v>
      </c>
    </row>
    <row r="9" spans="1:6" ht="30" customHeight="1">
      <c r="C9" s="4" t="s">
        <v>15</v>
      </c>
    </row>
    <row r="10" spans="1:6" ht="30" customHeight="1">
      <c r="C10" s="4" t="s">
        <v>16</v>
      </c>
    </row>
    <row r="11" spans="1:6" ht="30" customHeight="1">
      <c r="C11" s="4" t="s">
        <v>17</v>
      </c>
    </row>
    <row r="13" spans="1:6" ht="30" customHeight="1">
      <c r="C13" s="10"/>
    </row>
    <row r="14" spans="1:6" ht="30" customHeight="1">
      <c r="C14" s="10"/>
    </row>
    <row r="15" spans="1:6" ht="30" customHeight="1">
      <c r="C15" s="10"/>
    </row>
    <row r="16" spans="1:6" ht="30" customHeight="1">
      <c r="C16" s="10"/>
    </row>
    <row r="17" spans="3:3" ht="30" customHeight="1">
      <c r="C17" s="10"/>
    </row>
    <row r="18" spans="3:3" ht="30" customHeight="1">
      <c r="C18" s="10"/>
    </row>
    <row r="19" spans="3:3" ht="30" customHeight="1">
      <c r="C19" s="10"/>
    </row>
    <row r="20" spans="3:3" ht="30" customHeight="1">
      <c r="C20" s="10"/>
    </row>
    <row r="21" spans="3:3" ht="30" customHeight="1">
      <c r="C21" s="10"/>
    </row>
    <row r="22" spans="3:3" ht="30" customHeight="1">
      <c r="C22" s="10"/>
    </row>
    <row r="23" spans="3:3" ht="30" customHeight="1">
      <c r="C23" s="10"/>
    </row>
    <row r="24" spans="3:3" ht="30" customHeight="1">
      <c r="C24" s="10"/>
    </row>
    <row r="25" spans="3:3" ht="30" customHeight="1">
      <c r="C25" s="10"/>
    </row>
    <row r="34" spans="3:3" ht="30" customHeight="1">
      <c r="C34" s="11"/>
    </row>
  </sheetData>
  <phoneticPr fontId="1" type="noConversion"/>
  <pageMargins left="0.7" right="0.7" top="0.75" bottom="0.75" header="0.3" footer="0.3"/>
  <pageSetup paperSize="9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G2"/>
  <sheetViews>
    <sheetView workbookViewId="0">
      <pane ySplit="1" topLeftCell="A2" activePane="bottomLeft" state="frozen"/>
      <selection pane="bottomLeft" activeCell="D30" sqref="D30"/>
    </sheetView>
  </sheetViews>
  <sheetFormatPr baseColWidth="10" defaultColWidth="10.7109375" defaultRowHeight="18"/>
  <cols>
    <col min="1" max="1" width="10.7109375" style="6"/>
    <col min="2" max="2" width="11.140625" style="9" bestFit="1" customWidth="1"/>
    <col min="7" max="8" width="12" bestFit="1" customWidth="1"/>
    <col min="9" max="10" width="12.5703125" bestFit="1" customWidth="1"/>
  </cols>
  <sheetData>
    <row r="1" spans="1:371" s="8" customFormat="1">
      <c r="A1" s="8" t="s">
        <v>21</v>
      </c>
      <c r="B1" s="8" t="s">
        <v>6</v>
      </c>
      <c r="C1" s="8" t="s">
        <v>40</v>
      </c>
      <c r="D1" s="8" t="s">
        <v>23</v>
      </c>
      <c r="E1" s="8" t="s">
        <v>25</v>
      </c>
      <c r="F1" s="8" t="s">
        <v>27</v>
      </c>
      <c r="G1" s="8" t="s">
        <v>43</v>
      </c>
      <c r="H1" s="8" t="s">
        <v>45</v>
      </c>
      <c r="I1" s="8" t="s">
        <v>47</v>
      </c>
      <c r="J1" s="8" t="s">
        <v>111</v>
      </c>
      <c r="K1" s="8" t="s">
        <v>5</v>
      </c>
      <c r="L1" s="8" t="s">
        <v>123</v>
      </c>
      <c r="M1" s="6" t="s">
        <v>51</v>
      </c>
      <c r="N1" s="6" t="s">
        <v>52</v>
      </c>
      <c r="O1" s="6" t="s">
        <v>53</v>
      </c>
      <c r="P1" s="6" t="s">
        <v>144</v>
      </c>
      <c r="Q1" s="6" t="s">
        <v>145</v>
      </c>
      <c r="R1" s="6" t="s">
        <v>54</v>
      </c>
      <c r="S1" s="6" t="s">
        <v>55</v>
      </c>
      <c r="T1" s="6" t="s">
        <v>146</v>
      </c>
      <c r="U1" s="6" t="s">
        <v>147</v>
      </c>
      <c r="V1" s="6" t="s">
        <v>148</v>
      </c>
      <c r="W1" s="6" t="s">
        <v>149</v>
      </c>
      <c r="X1" s="6" t="s">
        <v>150</v>
      </c>
      <c r="Y1" s="6" t="s">
        <v>151</v>
      </c>
      <c r="Z1" s="6" t="s">
        <v>152</v>
      </c>
      <c r="AA1" s="6" t="s">
        <v>153</v>
      </c>
      <c r="AB1" s="6" t="s">
        <v>154</v>
      </c>
      <c r="AC1" s="6" t="s">
        <v>56</v>
      </c>
      <c r="AD1" s="8" t="s">
        <v>426</v>
      </c>
      <c r="AE1" s="6" t="s">
        <v>427</v>
      </c>
      <c r="AF1" s="6" t="s">
        <v>428</v>
      </c>
      <c r="AG1" s="6" t="s">
        <v>429</v>
      </c>
      <c r="AH1" s="6" t="s">
        <v>430</v>
      </c>
      <c r="AI1" s="6" t="s">
        <v>431</v>
      </c>
      <c r="AJ1" s="6" t="s">
        <v>432</v>
      </c>
      <c r="AK1" s="6" t="s">
        <v>433</v>
      </c>
      <c r="AL1" s="6" t="s">
        <v>155</v>
      </c>
      <c r="AM1" s="6" t="s">
        <v>156</v>
      </c>
      <c r="AN1" s="6" t="s">
        <v>157</v>
      </c>
      <c r="AO1" s="6" t="s">
        <v>158</v>
      </c>
      <c r="AP1" s="6" t="s">
        <v>159</v>
      </c>
      <c r="AQ1" s="6" t="s">
        <v>160</v>
      </c>
      <c r="AR1" s="6" t="s">
        <v>161</v>
      </c>
      <c r="AS1" s="6" t="s">
        <v>162</v>
      </c>
      <c r="AT1" s="6" t="s">
        <v>163</v>
      </c>
      <c r="AU1" s="6" t="s">
        <v>57</v>
      </c>
      <c r="AV1" s="8" t="s">
        <v>124</v>
      </c>
      <c r="AW1" s="6" t="s">
        <v>58</v>
      </c>
      <c r="AX1" s="6" t="s">
        <v>59</v>
      </c>
      <c r="AY1" s="6" t="s">
        <v>60</v>
      </c>
      <c r="AZ1" s="6" t="s">
        <v>164</v>
      </c>
      <c r="BA1" s="6" t="s">
        <v>165</v>
      </c>
      <c r="BB1" s="6" t="s">
        <v>61</v>
      </c>
      <c r="BC1" s="6" t="s">
        <v>62</v>
      </c>
      <c r="BD1" s="6" t="s">
        <v>166</v>
      </c>
      <c r="BE1" s="6" t="s">
        <v>167</v>
      </c>
      <c r="BF1" s="6" t="s">
        <v>168</v>
      </c>
      <c r="BG1" s="6" t="s">
        <v>169</v>
      </c>
      <c r="BH1" s="6" t="s">
        <v>170</v>
      </c>
      <c r="BI1" s="6" t="s">
        <v>171</v>
      </c>
      <c r="BJ1" s="6" t="s">
        <v>172</v>
      </c>
      <c r="BK1" s="6" t="s">
        <v>173</v>
      </c>
      <c r="BL1" s="6" t="s">
        <v>174</v>
      </c>
      <c r="BM1" s="6" t="s">
        <v>63</v>
      </c>
      <c r="BN1" s="8" t="s">
        <v>125</v>
      </c>
      <c r="BO1" s="6" t="s">
        <v>64</v>
      </c>
      <c r="BP1" s="6" t="s">
        <v>65</v>
      </c>
      <c r="BQ1" s="6" t="s">
        <v>66</v>
      </c>
      <c r="BR1" s="6" t="s">
        <v>175</v>
      </c>
      <c r="BS1" s="6" t="s">
        <v>176</v>
      </c>
      <c r="BT1" s="6" t="s">
        <v>67</v>
      </c>
      <c r="BU1" s="6" t="s">
        <v>68</v>
      </c>
      <c r="BV1" s="6" t="s">
        <v>177</v>
      </c>
      <c r="BW1" s="6" t="s">
        <v>178</v>
      </c>
      <c r="BX1" s="6" t="s">
        <v>179</v>
      </c>
      <c r="BY1" s="6" t="s">
        <v>180</v>
      </c>
      <c r="BZ1" s="6" t="s">
        <v>181</v>
      </c>
      <c r="CA1" s="6" t="s">
        <v>182</v>
      </c>
      <c r="CB1" s="6" t="s">
        <v>183</v>
      </c>
      <c r="CC1" s="6" t="s">
        <v>184</v>
      </c>
      <c r="CD1" s="6" t="s">
        <v>185</v>
      </c>
      <c r="CE1" s="6" t="s">
        <v>69</v>
      </c>
      <c r="CF1" s="8" t="s">
        <v>126</v>
      </c>
      <c r="CG1" s="6" t="s">
        <v>70</v>
      </c>
      <c r="CH1" s="6" t="s">
        <v>71</v>
      </c>
      <c r="CI1" s="6" t="s">
        <v>72</v>
      </c>
      <c r="CJ1" s="6" t="s">
        <v>186</v>
      </c>
      <c r="CK1" s="6" t="s">
        <v>187</v>
      </c>
      <c r="CL1" s="6" t="s">
        <v>73</v>
      </c>
      <c r="CM1" s="6" t="s">
        <v>74</v>
      </c>
      <c r="CN1" s="6" t="s">
        <v>188</v>
      </c>
      <c r="CO1" s="6" t="s">
        <v>189</v>
      </c>
      <c r="CP1" s="6" t="s">
        <v>190</v>
      </c>
      <c r="CQ1" s="6" t="s">
        <v>191</v>
      </c>
      <c r="CR1" s="6" t="s">
        <v>192</v>
      </c>
      <c r="CS1" s="6" t="s">
        <v>193</v>
      </c>
      <c r="CT1" s="6" t="s">
        <v>194</v>
      </c>
      <c r="CU1" s="6" t="s">
        <v>195</v>
      </c>
      <c r="CV1" s="6" t="s">
        <v>196</v>
      </c>
      <c r="CW1" s="6" t="s">
        <v>75</v>
      </c>
      <c r="CX1" s="8" t="s">
        <v>127</v>
      </c>
      <c r="CY1" s="6" t="s">
        <v>76</v>
      </c>
      <c r="CZ1" s="6" t="s">
        <v>77</v>
      </c>
      <c r="DA1" s="6" t="s">
        <v>78</v>
      </c>
      <c r="DB1" s="6" t="s">
        <v>197</v>
      </c>
      <c r="DC1" s="6" t="s">
        <v>198</v>
      </c>
      <c r="DD1" s="6" t="s">
        <v>79</v>
      </c>
      <c r="DE1" s="6" t="s">
        <v>80</v>
      </c>
      <c r="DF1" s="6" t="s">
        <v>199</v>
      </c>
      <c r="DG1" s="6" t="s">
        <v>200</v>
      </c>
      <c r="DH1" s="6" t="s">
        <v>201</v>
      </c>
      <c r="DI1" s="6" t="s">
        <v>202</v>
      </c>
      <c r="DJ1" s="6" t="s">
        <v>203</v>
      </c>
      <c r="DK1" s="6" t="s">
        <v>204</v>
      </c>
      <c r="DL1" s="6" t="s">
        <v>205</v>
      </c>
      <c r="DM1" s="6" t="s">
        <v>206</v>
      </c>
      <c r="DN1" s="6" t="s">
        <v>207</v>
      </c>
      <c r="DO1" s="6" t="s">
        <v>81</v>
      </c>
      <c r="DP1" s="8" t="s">
        <v>128</v>
      </c>
      <c r="DQ1" s="6" t="s">
        <v>82</v>
      </c>
      <c r="DR1" s="6" t="s">
        <v>83</v>
      </c>
      <c r="DS1" s="6" t="s">
        <v>84</v>
      </c>
      <c r="DT1" s="6" t="s">
        <v>208</v>
      </c>
      <c r="DU1" s="6" t="s">
        <v>209</v>
      </c>
      <c r="DV1" s="6" t="s">
        <v>85</v>
      </c>
      <c r="DW1" s="6" t="s">
        <v>86</v>
      </c>
      <c r="DX1" s="6" t="s">
        <v>210</v>
      </c>
      <c r="DY1" s="6" t="s">
        <v>211</v>
      </c>
      <c r="DZ1" s="6" t="s">
        <v>212</v>
      </c>
      <c r="EA1" s="6" t="s">
        <v>213</v>
      </c>
      <c r="EB1" s="6" t="s">
        <v>214</v>
      </c>
      <c r="EC1" s="6" t="s">
        <v>215</v>
      </c>
      <c r="ED1" s="6" t="s">
        <v>216</v>
      </c>
      <c r="EE1" s="6" t="s">
        <v>217</v>
      </c>
      <c r="EF1" s="6" t="s">
        <v>218</v>
      </c>
      <c r="EG1" s="6" t="s">
        <v>87</v>
      </c>
      <c r="EH1" s="8" t="s">
        <v>129</v>
      </c>
      <c r="EI1" s="6" t="s">
        <v>88</v>
      </c>
      <c r="EJ1" s="6" t="s">
        <v>89</v>
      </c>
      <c r="EK1" s="6" t="s">
        <v>90</v>
      </c>
      <c r="EL1" s="6" t="s">
        <v>219</v>
      </c>
      <c r="EM1" s="6" t="s">
        <v>220</v>
      </c>
      <c r="EN1" s="6" t="s">
        <v>91</v>
      </c>
      <c r="EO1" s="6" t="s">
        <v>92</v>
      </c>
      <c r="EP1" s="6" t="s">
        <v>221</v>
      </c>
      <c r="EQ1" s="6" t="s">
        <v>222</v>
      </c>
      <c r="ER1" s="6" t="s">
        <v>223</v>
      </c>
      <c r="ES1" s="6" t="s">
        <v>224</v>
      </c>
      <c r="ET1" s="6" t="s">
        <v>225</v>
      </c>
      <c r="EU1" s="6" t="s">
        <v>226</v>
      </c>
      <c r="EV1" s="6" t="s">
        <v>227</v>
      </c>
      <c r="EW1" s="6" t="s">
        <v>228</v>
      </c>
      <c r="EX1" s="6" t="s">
        <v>229</v>
      </c>
      <c r="EY1" s="6" t="s">
        <v>93</v>
      </c>
      <c r="EZ1" s="8" t="s">
        <v>130</v>
      </c>
      <c r="FA1" s="6" t="s">
        <v>94</v>
      </c>
      <c r="FB1" s="6" t="s">
        <v>95</v>
      </c>
      <c r="FC1" s="6" t="s">
        <v>96</v>
      </c>
      <c r="FD1" s="6" t="s">
        <v>230</v>
      </c>
      <c r="FE1" s="6" t="s">
        <v>231</v>
      </c>
      <c r="FF1" s="6" t="s">
        <v>97</v>
      </c>
      <c r="FG1" s="6" t="s">
        <v>98</v>
      </c>
      <c r="FH1" s="6" t="s">
        <v>232</v>
      </c>
      <c r="FI1" s="6" t="s">
        <v>233</v>
      </c>
      <c r="FJ1" s="6" t="s">
        <v>234</v>
      </c>
      <c r="FK1" s="6" t="s">
        <v>235</v>
      </c>
      <c r="FL1" s="6" t="s">
        <v>236</v>
      </c>
      <c r="FM1" s="6" t="s">
        <v>237</v>
      </c>
      <c r="FN1" s="6" t="s">
        <v>238</v>
      </c>
      <c r="FO1" s="6" t="s">
        <v>239</v>
      </c>
      <c r="FP1" s="6" t="s">
        <v>240</v>
      </c>
      <c r="FQ1" s="6" t="s">
        <v>99</v>
      </c>
      <c r="FR1" s="8" t="s">
        <v>131</v>
      </c>
      <c r="FS1" s="6" t="s">
        <v>100</v>
      </c>
      <c r="FT1" s="6" t="s">
        <v>101</v>
      </c>
      <c r="FU1" s="6" t="s">
        <v>102</v>
      </c>
      <c r="FV1" s="6" t="s">
        <v>241</v>
      </c>
      <c r="FW1" s="6" t="s">
        <v>242</v>
      </c>
      <c r="FX1" s="6" t="s">
        <v>103</v>
      </c>
      <c r="FY1" s="6" t="s">
        <v>104</v>
      </c>
      <c r="FZ1" s="6" t="s">
        <v>243</v>
      </c>
      <c r="GA1" s="6" t="s">
        <v>244</v>
      </c>
      <c r="GB1" s="6" t="s">
        <v>245</v>
      </c>
      <c r="GC1" s="6" t="s">
        <v>246</v>
      </c>
      <c r="GD1" s="6" t="s">
        <v>247</v>
      </c>
      <c r="GE1" s="6" t="s">
        <v>248</v>
      </c>
      <c r="GF1" s="6" t="s">
        <v>249</v>
      </c>
      <c r="GG1" s="6" t="s">
        <v>250</v>
      </c>
      <c r="GH1" s="6" t="s">
        <v>251</v>
      </c>
      <c r="GI1" s="6" t="s">
        <v>105</v>
      </c>
      <c r="GJ1" s="8" t="s">
        <v>132</v>
      </c>
      <c r="GK1" s="6" t="s">
        <v>106</v>
      </c>
      <c r="GL1" s="8" t="s">
        <v>107</v>
      </c>
      <c r="GM1" s="8" t="s">
        <v>108</v>
      </c>
      <c r="GN1" s="8" t="s">
        <v>252</v>
      </c>
      <c r="GO1" s="8" t="s">
        <v>253</v>
      </c>
      <c r="GP1" s="8" t="s">
        <v>109</v>
      </c>
      <c r="GQ1" s="8" t="s">
        <v>110</v>
      </c>
      <c r="GR1" s="8" t="s">
        <v>254</v>
      </c>
      <c r="GS1" s="8" t="s">
        <v>255</v>
      </c>
      <c r="GT1" s="8" t="s">
        <v>258</v>
      </c>
      <c r="GU1" s="8" t="s">
        <v>259</v>
      </c>
      <c r="GV1" s="8" t="s">
        <v>260</v>
      </c>
      <c r="GW1" s="8" t="s">
        <v>261</v>
      </c>
      <c r="GX1" s="8" t="s">
        <v>262</v>
      </c>
      <c r="GY1" s="8" t="s">
        <v>263</v>
      </c>
      <c r="GZ1" s="8" t="s">
        <v>264</v>
      </c>
      <c r="HA1" s="8" t="s">
        <v>256</v>
      </c>
      <c r="HB1" s="8" t="s">
        <v>265</v>
      </c>
      <c r="HC1" s="8" t="s">
        <v>266</v>
      </c>
      <c r="HD1" s="8" t="s">
        <v>267</v>
      </c>
      <c r="HE1" s="8" t="s">
        <v>268</v>
      </c>
      <c r="HF1" s="8" t="s">
        <v>269</v>
      </c>
      <c r="HG1" s="8" t="s">
        <v>270</v>
      </c>
      <c r="HH1" s="8" t="s">
        <v>271</v>
      </c>
      <c r="HI1" s="8" t="s">
        <v>272</v>
      </c>
      <c r="HJ1" s="8" t="s">
        <v>273</v>
      </c>
      <c r="HK1" s="8" t="s">
        <v>274</v>
      </c>
      <c r="HL1" s="8" t="s">
        <v>275</v>
      </c>
      <c r="HM1" s="8" t="s">
        <v>276</v>
      </c>
      <c r="HN1" s="8" t="s">
        <v>277</v>
      </c>
      <c r="HO1" s="8" t="s">
        <v>278</v>
      </c>
      <c r="HP1" s="8" t="s">
        <v>279</v>
      </c>
      <c r="HQ1" s="8" t="s">
        <v>280</v>
      </c>
      <c r="HR1" s="8" t="s">
        <v>281</v>
      </c>
      <c r="HS1" s="8" t="s">
        <v>257</v>
      </c>
      <c r="HT1" s="8" t="s">
        <v>282</v>
      </c>
      <c r="HU1" s="8" t="s">
        <v>283</v>
      </c>
      <c r="HV1" s="8" t="s">
        <v>284</v>
      </c>
      <c r="HW1" s="8" t="s">
        <v>285</v>
      </c>
      <c r="HX1" s="8" t="s">
        <v>286</v>
      </c>
      <c r="HY1" s="8" t="s">
        <v>287</v>
      </c>
      <c r="HZ1" s="8" t="s">
        <v>288</v>
      </c>
      <c r="IA1" s="8" t="s">
        <v>289</v>
      </c>
      <c r="IB1" s="8" t="s">
        <v>290</v>
      </c>
      <c r="IC1" s="8" t="s">
        <v>291</v>
      </c>
      <c r="ID1" s="8" t="s">
        <v>292</v>
      </c>
      <c r="IE1" s="8" t="s">
        <v>293</v>
      </c>
      <c r="IF1" s="8" t="s">
        <v>294</v>
      </c>
      <c r="IG1" s="8" t="s">
        <v>295</v>
      </c>
      <c r="IH1" s="8" t="s">
        <v>296</v>
      </c>
      <c r="II1" s="8" t="s">
        <v>297</v>
      </c>
      <c r="IJ1" s="8" t="s">
        <v>298</v>
      </c>
      <c r="IK1" s="8" t="s">
        <v>299</v>
      </c>
      <c r="IL1" s="8" t="s">
        <v>300</v>
      </c>
      <c r="IM1" s="8" t="s">
        <v>301</v>
      </c>
      <c r="IN1" s="8" t="s">
        <v>302</v>
      </c>
      <c r="IO1" s="8" t="s">
        <v>303</v>
      </c>
      <c r="IP1" s="8" t="s">
        <v>304</v>
      </c>
      <c r="IQ1" s="8" t="s">
        <v>305</v>
      </c>
      <c r="IR1" s="8" t="s">
        <v>306</v>
      </c>
      <c r="IS1" s="8" t="s">
        <v>307</v>
      </c>
      <c r="IT1" s="8" t="s">
        <v>308</v>
      </c>
      <c r="IU1" s="8" t="s">
        <v>309</v>
      </c>
      <c r="IV1" s="8" t="s">
        <v>310</v>
      </c>
      <c r="IW1" s="8" t="s">
        <v>311</v>
      </c>
      <c r="IX1" s="8" t="s">
        <v>312</v>
      </c>
      <c r="IY1" s="8" t="s">
        <v>313</v>
      </c>
      <c r="IZ1" s="8" t="s">
        <v>314</v>
      </c>
      <c r="JA1" s="8" t="s">
        <v>315</v>
      </c>
      <c r="JB1" s="8" t="s">
        <v>316</v>
      </c>
      <c r="JC1" s="8" t="s">
        <v>317</v>
      </c>
      <c r="JD1" s="8" t="s">
        <v>318</v>
      </c>
      <c r="JE1" s="8" t="s">
        <v>319</v>
      </c>
      <c r="JF1" s="8" t="s">
        <v>320</v>
      </c>
      <c r="JG1" s="8" t="s">
        <v>321</v>
      </c>
      <c r="JH1" s="8" t="s">
        <v>322</v>
      </c>
      <c r="JI1" s="8" t="s">
        <v>323</v>
      </c>
      <c r="JJ1" s="8" t="s">
        <v>324</v>
      </c>
      <c r="JK1" s="8" t="s">
        <v>325</v>
      </c>
      <c r="JL1" s="8" t="s">
        <v>326</v>
      </c>
      <c r="JM1" s="8" t="s">
        <v>327</v>
      </c>
      <c r="JN1" s="8" t="s">
        <v>328</v>
      </c>
      <c r="JO1" s="8" t="s">
        <v>329</v>
      </c>
      <c r="JP1" s="8" t="s">
        <v>330</v>
      </c>
      <c r="JQ1" s="8" t="s">
        <v>331</v>
      </c>
      <c r="JR1" s="8" t="s">
        <v>332</v>
      </c>
      <c r="JS1" s="8" t="s">
        <v>333</v>
      </c>
      <c r="JT1" s="8" t="s">
        <v>334</v>
      </c>
      <c r="JU1" s="8" t="s">
        <v>335</v>
      </c>
      <c r="JV1" s="8" t="s">
        <v>336</v>
      </c>
      <c r="JW1" s="8" t="s">
        <v>337</v>
      </c>
      <c r="JX1" s="8" t="s">
        <v>338</v>
      </c>
      <c r="JY1" s="8" t="s">
        <v>339</v>
      </c>
      <c r="JZ1" s="8" t="s">
        <v>340</v>
      </c>
      <c r="KA1" s="8" t="s">
        <v>341</v>
      </c>
      <c r="KB1" s="8" t="s">
        <v>342</v>
      </c>
      <c r="KC1" s="8" t="s">
        <v>343</v>
      </c>
      <c r="KD1" s="8" t="s">
        <v>344</v>
      </c>
      <c r="KE1" s="8" t="s">
        <v>345</v>
      </c>
      <c r="KF1" s="8" t="s">
        <v>346</v>
      </c>
      <c r="KG1" s="8" t="s">
        <v>347</v>
      </c>
      <c r="KH1" s="8" t="s">
        <v>348</v>
      </c>
      <c r="KI1" s="8" t="s">
        <v>349</v>
      </c>
      <c r="KJ1" s="8" t="s">
        <v>350</v>
      </c>
      <c r="KK1" s="8" t="s">
        <v>351</v>
      </c>
      <c r="KL1" s="8" t="s">
        <v>352</v>
      </c>
      <c r="KM1" s="8" t="s">
        <v>353</v>
      </c>
      <c r="KN1" s="8" t="s">
        <v>354</v>
      </c>
      <c r="KO1" s="8" t="s">
        <v>355</v>
      </c>
      <c r="KP1" s="8" t="s">
        <v>356</v>
      </c>
      <c r="KQ1" s="8" t="s">
        <v>357</v>
      </c>
      <c r="KR1" s="8" t="s">
        <v>358</v>
      </c>
      <c r="KS1" s="8" t="s">
        <v>359</v>
      </c>
      <c r="KT1" s="8" t="s">
        <v>360</v>
      </c>
      <c r="KU1" s="8" t="s">
        <v>361</v>
      </c>
      <c r="KV1" s="8" t="s">
        <v>362</v>
      </c>
      <c r="KW1" s="8" t="s">
        <v>363</v>
      </c>
      <c r="KX1" s="8" t="s">
        <v>364</v>
      </c>
      <c r="KY1" s="8" t="s">
        <v>365</v>
      </c>
      <c r="KZ1" s="8" t="s">
        <v>366</v>
      </c>
      <c r="LA1" s="8" t="s">
        <v>367</v>
      </c>
      <c r="LB1" s="8" t="s">
        <v>368</v>
      </c>
      <c r="LC1" s="8" t="s">
        <v>369</v>
      </c>
      <c r="LD1" s="8" t="s">
        <v>370</v>
      </c>
      <c r="LE1" s="8" t="s">
        <v>371</v>
      </c>
      <c r="LF1" s="8" t="s">
        <v>372</v>
      </c>
      <c r="LG1" s="8" t="s">
        <v>373</v>
      </c>
      <c r="LH1" s="8" t="s">
        <v>374</v>
      </c>
      <c r="LI1" s="8" t="s">
        <v>375</v>
      </c>
      <c r="LJ1" s="8" t="s">
        <v>376</v>
      </c>
      <c r="LK1" s="8" t="s">
        <v>377</v>
      </c>
      <c r="LL1" s="8" t="s">
        <v>378</v>
      </c>
      <c r="LM1" s="8" t="s">
        <v>379</v>
      </c>
      <c r="LN1" s="8" t="s">
        <v>380</v>
      </c>
      <c r="LO1" s="8" t="s">
        <v>381</v>
      </c>
      <c r="LP1" s="8" t="s">
        <v>382</v>
      </c>
      <c r="LQ1" s="8" t="s">
        <v>383</v>
      </c>
      <c r="LR1" s="8" t="s">
        <v>384</v>
      </c>
      <c r="LS1" s="8" t="s">
        <v>385</v>
      </c>
      <c r="LT1" s="8" t="s">
        <v>386</v>
      </c>
      <c r="LU1" s="8" t="s">
        <v>387</v>
      </c>
      <c r="LV1" s="8" t="s">
        <v>388</v>
      </c>
      <c r="LW1" s="8" t="s">
        <v>389</v>
      </c>
      <c r="LX1" s="8" t="s">
        <v>390</v>
      </c>
      <c r="LY1" s="8" t="s">
        <v>391</v>
      </c>
      <c r="LZ1" s="8" t="s">
        <v>392</v>
      </c>
      <c r="MA1" s="8" t="s">
        <v>393</v>
      </c>
      <c r="MB1" s="8" t="s">
        <v>394</v>
      </c>
      <c r="MC1" s="8" t="s">
        <v>395</v>
      </c>
      <c r="MD1" s="8" t="s">
        <v>396</v>
      </c>
      <c r="ME1" s="8" t="s">
        <v>397</v>
      </c>
      <c r="MF1" s="8" t="s">
        <v>398</v>
      </c>
      <c r="MG1" s="8" t="s">
        <v>399</v>
      </c>
      <c r="MH1" s="8" t="s">
        <v>400</v>
      </c>
      <c r="MI1" s="8" t="s">
        <v>401</v>
      </c>
      <c r="MJ1" s="8" t="s">
        <v>402</v>
      </c>
      <c r="MK1" s="8" t="s">
        <v>403</v>
      </c>
      <c r="ML1" s="8" t="s">
        <v>404</v>
      </c>
      <c r="MM1" s="8" t="s">
        <v>405</v>
      </c>
      <c r="MN1" s="8" t="s">
        <v>406</v>
      </c>
      <c r="MO1" s="8" t="s">
        <v>407</v>
      </c>
      <c r="MP1" s="8" t="s">
        <v>408</v>
      </c>
      <c r="MQ1" s="8" t="s">
        <v>409</v>
      </c>
      <c r="MR1" s="8" t="s">
        <v>410</v>
      </c>
      <c r="MS1" s="8" t="s">
        <v>411</v>
      </c>
      <c r="MT1" s="8" t="s">
        <v>412</v>
      </c>
      <c r="MU1" s="8" t="s">
        <v>413</v>
      </c>
      <c r="MV1" s="8" t="s">
        <v>414</v>
      </c>
      <c r="MW1" s="8" t="s">
        <v>415</v>
      </c>
      <c r="MX1" s="8" t="s">
        <v>416</v>
      </c>
      <c r="MY1" s="8" t="s">
        <v>417</v>
      </c>
      <c r="MZ1" s="8" t="s">
        <v>418</v>
      </c>
      <c r="NA1" s="8" t="s">
        <v>419</v>
      </c>
      <c r="NB1" s="8" t="s">
        <v>420</v>
      </c>
      <c r="NC1" s="8" t="s">
        <v>421</v>
      </c>
      <c r="ND1" s="8" t="s">
        <v>422</v>
      </c>
      <c r="NE1" s="8" t="s">
        <v>423</v>
      </c>
      <c r="NF1" s="8" t="s">
        <v>424</v>
      </c>
      <c r="NG1" s="8" t="s">
        <v>425</v>
      </c>
    </row>
    <row r="2" spans="1:371"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C1"/>
  <sheetViews>
    <sheetView workbookViewId="0">
      <pane ySplit="1" topLeftCell="A2" activePane="bottomLeft" state="frozen"/>
      <selection pane="bottomLeft" activeCell="B7" sqref="B7"/>
    </sheetView>
  </sheetViews>
  <sheetFormatPr baseColWidth="10" defaultColWidth="10.7109375" defaultRowHeight="18"/>
  <cols>
    <col min="2" max="2" width="11.140625" style="9" bestFit="1" customWidth="1"/>
    <col min="7" max="8" width="12" bestFit="1" customWidth="1"/>
    <col min="9" max="10" width="12.5703125" bestFit="1" customWidth="1"/>
  </cols>
  <sheetData>
    <row r="1" spans="1:29">
      <c r="A1" t="s">
        <v>20</v>
      </c>
      <c r="B1" s="9" t="s">
        <v>0</v>
      </c>
      <c r="C1" t="s">
        <v>39</v>
      </c>
      <c r="D1" t="s">
        <v>22</v>
      </c>
      <c r="E1" t="s">
        <v>24</v>
      </c>
      <c r="F1" t="s">
        <v>26</v>
      </c>
      <c r="G1" t="s">
        <v>42</v>
      </c>
      <c r="H1" t="s">
        <v>44</v>
      </c>
      <c r="I1" t="s">
        <v>46</v>
      </c>
      <c r="J1" t="s">
        <v>48</v>
      </c>
      <c r="K1" t="s">
        <v>1</v>
      </c>
      <c r="L1" t="s">
        <v>28</v>
      </c>
      <c r="M1" t="s">
        <v>10</v>
      </c>
      <c r="N1" t="s">
        <v>31</v>
      </c>
      <c r="O1" t="s">
        <v>33</v>
      </c>
      <c r="P1" t="s">
        <v>133</v>
      </c>
      <c r="Q1" t="s">
        <v>134</v>
      </c>
      <c r="R1" t="s">
        <v>35</v>
      </c>
      <c r="S1" t="s">
        <v>37</v>
      </c>
      <c r="T1" t="s">
        <v>135</v>
      </c>
      <c r="U1" t="s">
        <v>136</v>
      </c>
      <c r="V1" t="s">
        <v>137</v>
      </c>
      <c r="W1" t="s">
        <v>138</v>
      </c>
      <c r="X1" t="s">
        <v>139</v>
      </c>
      <c r="Y1" t="s">
        <v>140</v>
      </c>
      <c r="Z1" t="s">
        <v>141</v>
      </c>
      <c r="AA1" t="s">
        <v>142</v>
      </c>
      <c r="AB1" t="s">
        <v>143</v>
      </c>
      <c r="AC1" t="s">
        <v>18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REPORT</vt:lpstr>
      <vt:lpstr>LIST</vt:lpstr>
      <vt:lpstr>DATA</vt:lpstr>
      <vt:lpstr>PIVOTDATA</vt:lpstr>
      <vt:lpstr>PIVOTDATA_REF</vt:lpstr>
      <vt:lpstr>LIST!Print_Area</vt:lpstr>
      <vt:lpstr>REPORT!Print_Area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VBA2016-Form2.0.0</dc:title>
  <dc:subject/>
  <dc:creator>Park Junhyun</dc:creator>
  <cp:keywords/>
  <dc:description/>
  <cp:lastModifiedBy>Park Jun Hyun</cp:lastModifiedBy>
  <cp:lastPrinted>2019-01-16T04:48:11Z</cp:lastPrinted>
  <dcterms:created xsi:type="dcterms:W3CDTF">2018-12-20T03:14:14Z</dcterms:created>
  <dcterms:modified xsi:type="dcterms:W3CDTF">2019-01-16T04:54:12Z</dcterms:modified>
  <cp:category/>
</cp:coreProperties>
</file>